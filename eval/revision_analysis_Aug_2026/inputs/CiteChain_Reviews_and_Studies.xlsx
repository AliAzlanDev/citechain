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itechain\eval\"/>
    </mc:Choice>
  </mc:AlternateContent>
  <xr:revisionPtr revIDLastSave="0" documentId="13_ncr:1_{1E0A26B2-158A-42EC-9B63-E2CB732FDF80}" xr6:coauthVersionLast="47" xr6:coauthVersionMax="47" xr10:uidLastSave="{00000000-0000-0000-0000-000000000000}"/>
  <bookViews>
    <workbookView xWindow="-110" yWindow="-110" windowWidth="19420" windowHeight="10300" xr2:uid="{00000000-000D-0000-FFFF-FFFF00000000}"/>
  </bookViews>
  <sheets>
    <sheet name="Review_Screening" sheetId="1" r:id="rId1"/>
    <sheet name="Selected_Reviews" sheetId="2" r:id="rId2"/>
    <sheet name="Target_Studies" sheetId="3" r:id="rId3"/>
    <sheet name="R_01" sheetId="4" r:id="rId4"/>
    <sheet name="R_02" sheetId="5" r:id="rId5"/>
    <sheet name="R_03" sheetId="6" r:id="rId6"/>
    <sheet name="R_04" sheetId="7" r:id="rId7"/>
    <sheet name="R_05" sheetId="8" r:id="rId8"/>
    <sheet name="R_06" sheetId="9" r:id="rId9"/>
    <sheet name="R_07" sheetId="10" r:id="rId10"/>
    <sheet name="R_08" sheetId="11" r:id="rId11"/>
    <sheet name="R_09" sheetId="12" r:id="rId12"/>
    <sheet name="R_10" sheetId="13" r:id="rId13"/>
    <sheet name="R_11" sheetId="14" r:id="rId14"/>
    <sheet name="R_12"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5" l="1"/>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10" i="15"/>
  <c r="H9" i="15"/>
  <c r="H8" i="15"/>
  <c r="H7" i="15"/>
  <c r="H6" i="15"/>
  <c r="H5" i="15"/>
  <c r="H4" i="15"/>
  <c r="H3" i="15"/>
  <c r="H2" i="15"/>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H6" i="13"/>
  <c r="H5" i="13"/>
  <c r="H4" i="13"/>
  <c r="H3" i="13"/>
  <c r="H2" i="13"/>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4" i="12"/>
  <c r="H3" i="12"/>
  <c r="H2" i="12"/>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H4" i="11"/>
  <c r="H3" i="11"/>
  <c r="H2" i="11"/>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4" i="10"/>
  <c r="H3" i="10"/>
  <c r="H2" i="10"/>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H25" i="7"/>
  <c r="H24" i="7"/>
  <c r="H23" i="7"/>
  <c r="H22" i="7"/>
  <c r="H21" i="7"/>
  <c r="H20" i="7"/>
  <c r="H19" i="7"/>
  <c r="H18" i="7"/>
  <c r="H17" i="7"/>
  <c r="H16" i="7"/>
  <c r="H15" i="7"/>
  <c r="H14" i="7"/>
  <c r="H13" i="7"/>
  <c r="H12" i="7"/>
  <c r="H11" i="7"/>
  <c r="H10" i="7"/>
  <c r="H9" i="7"/>
  <c r="H8" i="7"/>
  <c r="H7" i="7"/>
  <c r="H6" i="7"/>
  <c r="H5" i="7"/>
  <c r="H4" i="7"/>
  <c r="H3" i="7"/>
  <c r="H2" i="7"/>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J605" i="3"/>
  <c r="I605" i="3"/>
  <c r="J604" i="3"/>
  <c r="I604" i="3"/>
  <c r="J603" i="3"/>
  <c r="I603" i="3"/>
  <c r="J602" i="3"/>
  <c r="I602" i="3"/>
  <c r="J601" i="3"/>
  <c r="I601" i="3"/>
  <c r="J600" i="3"/>
  <c r="I600" i="3"/>
  <c r="J599" i="3"/>
  <c r="I599" i="3"/>
  <c r="J598" i="3"/>
  <c r="I598" i="3"/>
  <c r="J597" i="3"/>
  <c r="I597" i="3"/>
  <c r="J596" i="3"/>
  <c r="I596" i="3"/>
  <c r="J595" i="3"/>
  <c r="I595" i="3"/>
  <c r="J594" i="3"/>
  <c r="I594" i="3"/>
  <c r="J593" i="3"/>
  <c r="I593" i="3"/>
  <c r="J592" i="3"/>
  <c r="I592" i="3"/>
  <c r="J591" i="3"/>
  <c r="I591" i="3"/>
  <c r="J590" i="3"/>
  <c r="I590" i="3"/>
  <c r="J589" i="3"/>
  <c r="I589" i="3"/>
  <c r="J588" i="3"/>
  <c r="I588" i="3"/>
  <c r="J587" i="3"/>
  <c r="I587" i="3"/>
  <c r="J586" i="3"/>
  <c r="I586" i="3"/>
  <c r="J585" i="3"/>
  <c r="I585" i="3"/>
  <c r="J584" i="3"/>
  <c r="I584" i="3"/>
  <c r="J583" i="3"/>
  <c r="I583" i="3"/>
  <c r="J582" i="3"/>
  <c r="I582" i="3"/>
  <c r="J581" i="3"/>
  <c r="I581" i="3"/>
  <c r="J580" i="3"/>
  <c r="I580" i="3"/>
  <c r="J579" i="3"/>
  <c r="I579" i="3"/>
  <c r="J578" i="3"/>
  <c r="I578" i="3"/>
  <c r="J577" i="3"/>
  <c r="I577" i="3"/>
  <c r="J576" i="3"/>
  <c r="I576" i="3"/>
  <c r="J575" i="3"/>
  <c r="I575" i="3"/>
  <c r="J574" i="3"/>
  <c r="I574" i="3"/>
  <c r="J573" i="3"/>
  <c r="I573" i="3"/>
  <c r="J572" i="3"/>
  <c r="I572" i="3"/>
  <c r="J571" i="3"/>
  <c r="I571" i="3"/>
  <c r="J570" i="3"/>
  <c r="I570" i="3"/>
  <c r="J569" i="3"/>
  <c r="I569" i="3"/>
  <c r="J568" i="3"/>
  <c r="I568" i="3"/>
  <c r="J567" i="3"/>
  <c r="I567" i="3"/>
  <c r="J566" i="3"/>
  <c r="I566" i="3"/>
  <c r="J565" i="3"/>
  <c r="I565" i="3"/>
  <c r="J564" i="3"/>
  <c r="I564" i="3"/>
  <c r="J563" i="3"/>
  <c r="I563" i="3"/>
  <c r="J562" i="3"/>
  <c r="I562" i="3"/>
  <c r="J561" i="3"/>
  <c r="I561" i="3"/>
  <c r="J560" i="3"/>
  <c r="I560" i="3"/>
  <c r="J559" i="3"/>
  <c r="I559" i="3"/>
  <c r="J558" i="3"/>
  <c r="I558" i="3"/>
  <c r="J557" i="3"/>
  <c r="I557" i="3"/>
  <c r="J556" i="3"/>
  <c r="I556" i="3"/>
  <c r="J555" i="3"/>
  <c r="I555" i="3"/>
  <c r="J554" i="3"/>
  <c r="I554" i="3"/>
  <c r="J553" i="3"/>
  <c r="I553" i="3"/>
  <c r="J552" i="3"/>
  <c r="I552" i="3"/>
  <c r="J551" i="3"/>
  <c r="I551" i="3"/>
  <c r="J550" i="3"/>
  <c r="I550" i="3"/>
  <c r="J549" i="3"/>
  <c r="I549" i="3"/>
  <c r="J548" i="3"/>
  <c r="I548" i="3"/>
  <c r="J547" i="3"/>
  <c r="I547" i="3"/>
  <c r="J546" i="3"/>
  <c r="I546" i="3"/>
  <c r="J545" i="3"/>
  <c r="I545" i="3"/>
  <c r="J544" i="3"/>
  <c r="I544" i="3"/>
  <c r="J543" i="3"/>
  <c r="I543" i="3"/>
  <c r="J542" i="3"/>
  <c r="I542" i="3"/>
  <c r="J541" i="3"/>
  <c r="I541" i="3"/>
  <c r="J540" i="3"/>
  <c r="I540" i="3"/>
  <c r="J539" i="3"/>
  <c r="I539" i="3"/>
  <c r="J538" i="3"/>
  <c r="I538" i="3"/>
  <c r="J537" i="3"/>
  <c r="I537" i="3"/>
  <c r="J536" i="3"/>
  <c r="I536" i="3"/>
  <c r="J535" i="3"/>
  <c r="I535" i="3"/>
  <c r="J534" i="3"/>
  <c r="I534" i="3"/>
  <c r="J533" i="3"/>
  <c r="I533" i="3"/>
  <c r="J532" i="3"/>
  <c r="I532" i="3"/>
  <c r="J531" i="3"/>
  <c r="I531" i="3"/>
  <c r="J530" i="3"/>
  <c r="I530" i="3"/>
  <c r="J529" i="3"/>
  <c r="I529" i="3"/>
  <c r="J528" i="3"/>
  <c r="I528" i="3"/>
  <c r="J527" i="3"/>
  <c r="I527" i="3"/>
  <c r="J526" i="3"/>
  <c r="I526" i="3"/>
  <c r="J525" i="3"/>
  <c r="I525" i="3"/>
  <c r="J524" i="3"/>
  <c r="I524" i="3"/>
  <c r="J523" i="3"/>
  <c r="I523" i="3"/>
  <c r="J522" i="3"/>
  <c r="I522" i="3"/>
  <c r="J521" i="3"/>
  <c r="I521" i="3"/>
  <c r="J520" i="3"/>
  <c r="I520" i="3"/>
  <c r="J519" i="3"/>
  <c r="I519" i="3"/>
  <c r="J518" i="3"/>
  <c r="I518" i="3"/>
  <c r="J517" i="3"/>
  <c r="I517" i="3"/>
  <c r="J516" i="3"/>
  <c r="I516" i="3"/>
  <c r="J515" i="3"/>
  <c r="I515" i="3"/>
  <c r="J514" i="3"/>
  <c r="I514" i="3"/>
  <c r="J513" i="3"/>
  <c r="I513" i="3"/>
  <c r="J478" i="3"/>
  <c r="I478" i="3"/>
  <c r="J477" i="3"/>
  <c r="I477" i="3"/>
  <c r="J476" i="3"/>
  <c r="I476" i="3"/>
  <c r="J475" i="3"/>
  <c r="I475" i="3"/>
  <c r="J474" i="3"/>
  <c r="I474" i="3"/>
  <c r="J473" i="3"/>
  <c r="I473" i="3"/>
  <c r="J472" i="3"/>
  <c r="I472" i="3"/>
  <c r="J471" i="3"/>
  <c r="I471" i="3"/>
  <c r="J470" i="3"/>
  <c r="I470" i="3"/>
  <c r="J469" i="3"/>
  <c r="I469" i="3"/>
  <c r="J468" i="3"/>
  <c r="I468" i="3"/>
  <c r="J467" i="3"/>
  <c r="I467" i="3"/>
  <c r="J466" i="3"/>
  <c r="I466" i="3"/>
  <c r="J465" i="3"/>
  <c r="I465" i="3"/>
  <c r="J464" i="3"/>
  <c r="I464" i="3"/>
  <c r="J463" i="3"/>
  <c r="I463" i="3"/>
  <c r="J462" i="3"/>
  <c r="I462" i="3"/>
  <c r="J461" i="3"/>
  <c r="I461" i="3"/>
  <c r="J460" i="3"/>
  <c r="I460" i="3"/>
  <c r="J459" i="3"/>
  <c r="I459" i="3"/>
  <c r="J458" i="3"/>
  <c r="I458" i="3"/>
  <c r="J457" i="3"/>
  <c r="I457" i="3"/>
  <c r="J456" i="3"/>
  <c r="I456" i="3"/>
  <c r="J455" i="3"/>
  <c r="I455" i="3"/>
  <c r="J454" i="3"/>
  <c r="I454" i="3"/>
  <c r="J453" i="3"/>
  <c r="I453" i="3"/>
  <c r="J452" i="3"/>
  <c r="I452" i="3"/>
  <c r="J451" i="3"/>
  <c r="I451" i="3"/>
  <c r="J450" i="3"/>
  <c r="I450" i="3"/>
  <c r="J449" i="3"/>
  <c r="I449" i="3"/>
  <c r="J448" i="3"/>
  <c r="I448" i="3"/>
  <c r="J447" i="3"/>
  <c r="I447" i="3"/>
  <c r="J446" i="3"/>
  <c r="I446" i="3"/>
  <c r="J445" i="3"/>
  <c r="I445" i="3"/>
  <c r="J444" i="3"/>
  <c r="I444" i="3"/>
  <c r="J443" i="3"/>
  <c r="I443" i="3"/>
  <c r="J442" i="3"/>
  <c r="I442" i="3"/>
  <c r="J441" i="3"/>
  <c r="I441" i="3"/>
  <c r="J440" i="3"/>
  <c r="I440" i="3"/>
  <c r="J439" i="3"/>
  <c r="I439" i="3"/>
  <c r="J438" i="3"/>
  <c r="I438" i="3"/>
  <c r="J437" i="3"/>
  <c r="I437" i="3"/>
  <c r="J436" i="3"/>
  <c r="I436" i="3"/>
  <c r="J435" i="3"/>
  <c r="I435" i="3"/>
  <c r="J434" i="3"/>
  <c r="I434" i="3"/>
  <c r="J433" i="3"/>
  <c r="I433" i="3"/>
  <c r="J432" i="3"/>
  <c r="I432" i="3"/>
  <c r="J431" i="3"/>
  <c r="I431" i="3"/>
  <c r="J430" i="3"/>
  <c r="I430" i="3"/>
  <c r="J429" i="3"/>
  <c r="I429" i="3"/>
  <c r="J428" i="3"/>
  <c r="I428" i="3"/>
  <c r="J427" i="3"/>
  <c r="I427" i="3"/>
  <c r="J426" i="3"/>
  <c r="I426" i="3"/>
  <c r="J425" i="3"/>
  <c r="I425" i="3"/>
  <c r="J424" i="3"/>
  <c r="I424" i="3"/>
  <c r="J423" i="3"/>
  <c r="I423" i="3"/>
  <c r="J422" i="3"/>
  <c r="I422" i="3"/>
  <c r="J421" i="3"/>
  <c r="I421" i="3"/>
  <c r="J420" i="3"/>
  <c r="I420" i="3"/>
  <c r="J419" i="3"/>
  <c r="I419" i="3"/>
  <c r="J418" i="3"/>
  <c r="I418" i="3"/>
  <c r="J417" i="3"/>
  <c r="I417" i="3"/>
  <c r="J416" i="3"/>
  <c r="I416" i="3"/>
  <c r="J415" i="3"/>
  <c r="I415" i="3"/>
  <c r="J414" i="3"/>
  <c r="I414" i="3"/>
  <c r="J413" i="3"/>
  <c r="I413" i="3"/>
  <c r="J412" i="3"/>
  <c r="I412" i="3"/>
  <c r="J411" i="3"/>
  <c r="I411" i="3"/>
  <c r="J410" i="3"/>
  <c r="I410" i="3"/>
  <c r="J409" i="3"/>
  <c r="I409" i="3"/>
  <c r="J408" i="3"/>
  <c r="I408" i="3"/>
  <c r="J407" i="3"/>
  <c r="I407" i="3"/>
  <c r="J406" i="3"/>
  <c r="I406" i="3"/>
  <c r="J405" i="3"/>
  <c r="I405" i="3"/>
  <c r="J404" i="3"/>
  <c r="I404" i="3"/>
  <c r="J403" i="3"/>
  <c r="I403" i="3"/>
  <c r="J402" i="3"/>
  <c r="I402" i="3"/>
  <c r="J401" i="3"/>
  <c r="I401" i="3"/>
  <c r="J400" i="3"/>
  <c r="I400" i="3"/>
  <c r="J399" i="3"/>
  <c r="I399" i="3"/>
  <c r="J398" i="3"/>
  <c r="I398" i="3"/>
  <c r="J397" i="3"/>
  <c r="I397" i="3"/>
  <c r="J396" i="3"/>
  <c r="I396" i="3"/>
  <c r="J395" i="3"/>
  <c r="I395" i="3"/>
  <c r="J394" i="3"/>
  <c r="I394" i="3"/>
  <c r="J393" i="3"/>
  <c r="I393" i="3"/>
  <c r="J392" i="3"/>
  <c r="I392" i="3"/>
  <c r="J391" i="3"/>
  <c r="I391" i="3"/>
  <c r="J390" i="3"/>
  <c r="I390" i="3"/>
  <c r="J389" i="3"/>
  <c r="I389" i="3"/>
  <c r="J388" i="3"/>
  <c r="I388" i="3"/>
  <c r="J387" i="3"/>
  <c r="I387" i="3"/>
  <c r="J386" i="3"/>
  <c r="I386" i="3"/>
  <c r="J385" i="3"/>
  <c r="I385" i="3"/>
  <c r="J384" i="3"/>
  <c r="I384" i="3"/>
  <c r="J383" i="3"/>
  <c r="I383" i="3"/>
  <c r="J382" i="3"/>
  <c r="I382" i="3"/>
  <c r="J381" i="3"/>
  <c r="I381" i="3"/>
  <c r="J380" i="3"/>
  <c r="I380" i="3"/>
  <c r="J379" i="3"/>
  <c r="I379" i="3"/>
  <c r="J378" i="3"/>
  <c r="I378" i="3"/>
  <c r="J377" i="3"/>
  <c r="I377" i="3"/>
  <c r="J376" i="3"/>
  <c r="I376" i="3"/>
  <c r="J375" i="3"/>
  <c r="I375" i="3"/>
  <c r="J374" i="3"/>
  <c r="I374" i="3"/>
  <c r="J373" i="3"/>
  <c r="I373" i="3"/>
  <c r="J372" i="3"/>
  <c r="I372" i="3"/>
  <c r="J371" i="3"/>
  <c r="I371" i="3"/>
  <c r="J370" i="3"/>
  <c r="I370" i="3"/>
  <c r="J369" i="3"/>
  <c r="I369" i="3"/>
  <c r="J368" i="3"/>
  <c r="I368" i="3"/>
  <c r="J367" i="3"/>
  <c r="I367" i="3"/>
  <c r="J366" i="3"/>
  <c r="I366" i="3"/>
  <c r="J365" i="3"/>
  <c r="I365" i="3"/>
  <c r="J364" i="3"/>
  <c r="I364" i="3"/>
  <c r="J363" i="3"/>
  <c r="I363" i="3"/>
  <c r="J362" i="3"/>
  <c r="I362" i="3"/>
  <c r="J361" i="3"/>
  <c r="I361" i="3"/>
  <c r="J360" i="3"/>
  <c r="I360" i="3"/>
  <c r="J359" i="3"/>
  <c r="I359" i="3"/>
  <c r="J358" i="3"/>
  <c r="I358" i="3"/>
  <c r="J357" i="3"/>
  <c r="I357" i="3"/>
  <c r="J356" i="3"/>
  <c r="I356" i="3"/>
  <c r="J355" i="3"/>
  <c r="I355" i="3"/>
  <c r="J354" i="3"/>
  <c r="I354" i="3"/>
  <c r="J353" i="3"/>
  <c r="I353" i="3"/>
  <c r="J352" i="3"/>
  <c r="I352" i="3"/>
  <c r="J351" i="3"/>
  <c r="I351" i="3"/>
  <c r="J350" i="3"/>
  <c r="I350" i="3"/>
  <c r="J349" i="3"/>
  <c r="I349" i="3"/>
  <c r="J348" i="3"/>
  <c r="I348" i="3"/>
  <c r="J347" i="3"/>
  <c r="I347" i="3"/>
  <c r="J346" i="3"/>
  <c r="I346" i="3"/>
  <c r="J345" i="3"/>
  <c r="I345" i="3"/>
  <c r="J344" i="3"/>
  <c r="I344" i="3"/>
  <c r="J343" i="3"/>
  <c r="I343" i="3"/>
  <c r="J342" i="3"/>
  <c r="I342" i="3"/>
  <c r="J341" i="3"/>
  <c r="I341" i="3"/>
  <c r="J340" i="3"/>
  <c r="I340" i="3"/>
  <c r="J339" i="3"/>
  <c r="I339" i="3"/>
  <c r="J338" i="3"/>
  <c r="I338" i="3"/>
  <c r="J337" i="3"/>
  <c r="I337" i="3"/>
  <c r="J336" i="3"/>
  <c r="I336" i="3"/>
  <c r="J335" i="3"/>
  <c r="I335" i="3"/>
  <c r="J334" i="3"/>
  <c r="I334" i="3"/>
  <c r="J333" i="3"/>
  <c r="I333" i="3"/>
  <c r="J332" i="3"/>
  <c r="I332" i="3"/>
  <c r="J331" i="3"/>
  <c r="I331" i="3"/>
  <c r="J330" i="3"/>
  <c r="I330" i="3"/>
  <c r="J329" i="3"/>
  <c r="I329" i="3"/>
  <c r="J328" i="3"/>
  <c r="I328" i="3"/>
  <c r="J327" i="3"/>
  <c r="I327" i="3"/>
  <c r="J326" i="3"/>
  <c r="I326" i="3"/>
  <c r="J325" i="3"/>
  <c r="I325" i="3"/>
  <c r="J324" i="3"/>
  <c r="I324" i="3"/>
  <c r="J323" i="3"/>
  <c r="I323" i="3"/>
  <c r="J322" i="3"/>
  <c r="I322" i="3"/>
  <c r="J321" i="3"/>
  <c r="I321" i="3"/>
  <c r="J320" i="3"/>
  <c r="I320" i="3"/>
  <c r="J319" i="3"/>
  <c r="I319" i="3"/>
  <c r="J318" i="3"/>
  <c r="I318" i="3"/>
  <c r="J317" i="3"/>
  <c r="I317" i="3"/>
  <c r="J316" i="3"/>
  <c r="I316" i="3"/>
  <c r="J315" i="3"/>
  <c r="I315" i="3"/>
  <c r="J314" i="3"/>
  <c r="I314" i="3"/>
  <c r="J313" i="3"/>
  <c r="I313" i="3"/>
  <c r="J312" i="3"/>
  <c r="I312" i="3"/>
  <c r="J311" i="3"/>
  <c r="I311" i="3"/>
  <c r="J310" i="3"/>
  <c r="I310" i="3"/>
  <c r="J309" i="3"/>
  <c r="I309" i="3"/>
  <c r="J308" i="3"/>
  <c r="I308" i="3"/>
  <c r="J307" i="3"/>
  <c r="I307" i="3"/>
  <c r="J306" i="3"/>
  <c r="I306" i="3"/>
  <c r="J305" i="3"/>
  <c r="I305" i="3"/>
  <c r="J304" i="3"/>
  <c r="I304" i="3"/>
  <c r="J303" i="3"/>
  <c r="I303" i="3"/>
  <c r="J302" i="3"/>
  <c r="I302" i="3"/>
  <c r="J301" i="3"/>
  <c r="I301" i="3"/>
  <c r="J300" i="3"/>
  <c r="I300" i="3"/>
  <c r="J299" i="3"/>
  <c r="I299" i="3"/>
  <c r="J298" i="3"/>
  <c r="I298" i="3"/>
  <c r="J297" i="3"/>
  <c r="I297" i="3"/>
  <c r="J296" i="3"/>
  <c r="I296" i="3"/>
  <c r="J295" i="3"/>
  <c r="I295" i="3"/>
  <c r="J294" i="3"/>
  <c r="I294" i="3"/>
  <c r="J293" i="3"/>
  <c r="I293" i="3"/>
  <c r="J292" i="3"/>
  <c r="I292" i="3"/>
  <c r="J291" i="3"/>
  <c r="I291" i="3"/>
  <c r="J290" i="3"/>
  <c r="I290" i="3"/>
  <c r="J289" i="3"/>
  <c r="I289" i="3"/>
  <c r="J288" i="3"/>
  <c r="I288" i="3"/>
  <c r="J287" i="3"/>
  <c r="I287" i="3"/>
  <c r="J286" i="3"/>
  <c r="I286" i="3"/>
  <c r="J251" i="3"/>
  <c r="I251" i="3"/>
  <c r="J250" i="3"/>
  <c r="I250" i="3"/>
  <c r="J249" i="3"/>
  <c r="I249" i="3"/>
  <c r="J248" i="3"/>
  <c r="I248" i="3"/>
  <c r="J247" i="3"/>
  <c r="I247" i="3"/>
  <c r="J246" i="3"/>
  <c r="I246" i="3"/>
  <c r="J245" i="3"/>
  <c r="I245" i="3"/>
  <c r="J244" i="3"/>
  <c r="I244" i="3"/>
  <c r="J243" i="3"/>
  <c r="I243" i="3"/>
  <c r="J242" i="3"/>
  <c r="I242" i="3"/>
  <c r="J241" i="3"/>
  <c r="I241" i="3"/>
  <c r="J240" i="3"/>
  <c r="I240" i="3"/>
  <c r="J239" i="3"/>
  <c r="I239" i="3"/>
  <c r="J238" i="3"/>
  <c r="I238" i="3"/>
  <c r="J237" i="3"/>
  <c r="I237" i="3"/>
  <c r="J236" i="3"/>
  <c r="I236" i="3"/>
  <c r="J235" i="3"/>
  <c r="I235" i="3"/>
  <c r="J234" i="3"/>
  <c r="I234" i="3"/>
  <c r="J233" i="3"/>
  <c r="I233" i="3"/>
  <c r="J232" i="3"/>
  <c r="I232" i="3"/>
  <c r="J231" i="3"/>
  <c r="I231" i="3"/>
  <c r="J230" i="3"/>
  <c r="I230" i="3"/>
  <c r="J229" i="3"/>
  <c r="I229" i="3"/>
  <c r="J228" i="3"/>
  <c r="I228" i="3"/>
  <c r="J227" i="3"/>
  <c r="I227" i="3"/>
  <c r="J226" i="3"/>
  <c r="I226" i="3"/>
  <c r="J225" i="3"/>
  <c r="I225" i="3"/>
  <c r="J224" i="3"/>
  <c r="I224" i="3"/>
  <c r="J223" i="3"/>
  <c r="I223" i="3"/>
  <c r="J222" i="3"/>
  <c r="I222" i="3"/>
  <c r="J221" i="3"/>
  <c r="I221" i="3"/>
  <c r="J220" i="3"/>
  <c r="I220" i="3"/>
  <c r="J219" i="3"/>
  <c r="I219" i="3"/>
  <c r="J218" i="3"/>
  <c r="I218" i="3"/>
  <c r="J217" i="3"/>
  <c r="I217" i="3"/>
  <c r="J216" i="3"/>
  <c r="I216" i="3"/>
  <c r="J215" i="3"/>
  <c r="I215" i="3"/>
  <c r="J214" i="3"/>
  <c r="I214" i="3"/>
  <c r="J213" i="3"/>
  <c r="I213" i="3"/>
  <c r="J212" i="3"/>
  <c r="I212" i="3"/>
  <c r="J211" i="3"/>
  <c r="I211" i="3"/>
  <c r="J210" i="3"/>
  <c r="I210" i="3"/>
  <c r="J209" i="3"/>
  <c r="I209" i="3"/>
  <c r="J208" i="3"/>
  <c r="I208" i="3"/>
  <c r="J207" i="3"/>
  <c r="I207" i="3"/>
  <c r="J206" i="3"/>
  <c r="I206" i="3"/>
  <c r="J205" i="3"/>
  <c r="I205" i="3"/>
  <c r="J204" i="3"/>
  <c r="I204" i="3"/>
  <c r="J203" i="3"/>
  <c r="I203" i="3"/>
  <c r="J202" i="3"/>
  <c r="I202" i="3"/>
  <c r="J201" i="3"/>
  <c r="I201" i="3"/>
  <c r="J200" i="3"/>
  <c r="I200" i="3"/>
  <c r="J199" i="3"/>
  <c r="I199" i="3"/>
  <c r="J198" i="3"/>
  <c r="I198" i="3"/>
  <c r="J197" i="3"/>
  <c r="I197" i="3"/>
  <c r="J196" i="3"/>
  <c r="I196" i="3"/>
  <c r="J195" i="3"/>
  <c r="I195" i="3"/>
  <c r="J194" i="3"/>
  <c r="I194" i="3"/>
  <c r="J193" i="3"/>
  <c r="I193" i="3"/>
  <c r="J192" i="3"/>
  <c r="I192" i="3"/>
  <c r="J191" i="3"/>
  <c r="I191" i="3"/>
  <c r="J190" i="3"/>
  <c r="I190" i="3"/>
  <c r="J189" i="3"/>
  <c r="I189" i="3"/>
  <c r="J188" i="3"/>
  <c r="I188" i="3"/>
  <c r="J187" i="3"/>
  <c r="I187" i="3"/>
  <c r="J186" i="3"/>
  <c r="I186" i="3"/>
  <c r="J185" i="3"/>
  <c r="I185" i="3"/>
  <c r="J184" i="3"/>
  <c r="I184" i="3"/>
  <c r="J183" i="3"/>
  <c r="I183" i="3"/>
  <c r="J182" i="3"/>
  <c r="I182" i="3"/>
  <c r="J181" i="3"/>
  <c r="I181" i="3"/>
  <c r="J180" i="3"/>
  <c r="I180" i="3"/>
  <c r="J179" i="3"/>
  <c r="I179" i="3"/>
  <c r="J178" i="3"/>
  <c r="I178" i="3"/>
  <c r="J177" i="3"/>
  <c r="I177" i="3"/>
  <c r="J176" i="3"/>
  <c r="I176" i="3"/>
  <c r="J175" i="3"/>
  <c r="I175" i="3"/>
  <c r="J174" i="3"/>
  <c r="I174" i="3"/>
  <c r="J173" i="3"/>
  <c r="I173" i="3"/>
  <c r="J172" i="3"/>
  <c r="I172" i="3"/>
  <c r="J171" i="3"/>
  <c r="I171" i="3"/>
  <c r="J170" i="3"/>
  <c r="I170" i="3"/>
  <c r="J169" i="3"/>
  <c r="I169" i="3"/>
  <c r="J168" i="3"/>
  <c r="I168" i="3"/>
  <c r="J167" i="3"/>
  <c r="I167" i="3"/>
  <c r="J166" i="3"/>
  <c r="I166" i="3"/>
  <c r="J165" i="3"/>
  <c r="I165" i="3"/>
  <c r="J164" i="3"/>
  <c r="I164" i="3"/>
  <c r="J163" i="3"/>
  <c r="I163" i="3"/>
  <c r="J162" i="3"/>
  <c r="I162" i="3"/>
  <c r="J161" i="3"/>
  <c r="I161" i="3"/>
  <c r="J160" i="3"/>
  <c r="I160" i="3"/>
  <c r="J159" i="3"/>
  <c r="I159" i="3"/>
  <c r="J158" i="3"/>
  <c r="I158" i="3"/>
  <c r="J157" i="3"/>
  <c r="I157" i="3"/>
  <c r="J156" i="3"/>
  <c r="I156" i="3"/>
  <c r="J155" i="3"/>
  <c r="I155" i="3"/>
  <c r="J154" i="3"/>
  <c r="I154" i="3"/>
  <c r="J153" i="3"/>
  <c r="I153" i="3"/>
  <c r="J152" i="3"/>
  <c r="I152" i="3"/>
  <c r="J151" i="3"/>
  <c r="I151" i="3"/>
  <c r="J150" i="3"/>
  <c r="I150" i="3"/>
  <c r="J149" i="3"/>
  <c r="I149" i="3"/>
  <c r="J148" i="3"/>
  <c r="I148" i="3"/>
  <c r="J147" i="3"/>
  <c r="I147" i="3"/>
  <c r="J146" i="3"/>
  <c r="I146" i="3"/>
  <c r="J145" i="3"/>
  <c r="I145" i="3"/>
  <c r="J144" i="3"/>
  <c r="I144" i="3"/>
  <c r="J143" i="3"/>
  <c r="I143" i="3"/>
  <c r="J142" i="3"/>
  <c r="I142" i="3"/>
  <c r="J141" i="3"/>
  <c r="I141" i="3"/>
  <c r="J140" i="3"/>
  <c r="I140" i="3"/>
  <c r="J139" i="3"/>
  <c r="I139" i="3"/>
  <c r="J138" i="3"/>
  <c r="I138" i="3"/>
  <c r="J137" i="3"/>
  <c r="I137" i="3"/>
  <c r="J136" i="3"/>
  <c r="I136" i="3"/>
  <c r="J135" i="3"/>
  <c r="I135" i="3"/>
  <c r="J134" i="3"/>
  <c r="I134" i="3"/>
  <c r="J133" i="3"/>
  <c r="I133" i="3"/>
  <c r="J132" i="3"/>
  <c r="I132" i="3"/>
  <c r="J131" i="3"/>
  <c r="I131" i="3"/>
  <c r="J130" i="3"/>
  <c r="I130" i="3"/>
  <c r="J129" i="3"/>
  <c r="I129" i="3"/>
  <c r="J128" i="3"/>
  <c r="I128" i="3"/>
  <c r="J127" i="3"/>
  <c r="I127" i="3"/>
  <c r="J126" i="3"/>
  <c r="I126" i="3"/>
  <c r="J125" i="3"/>
  <c r="I125" i="3"/>
  <c r="J124" i="3"/>
  <c r="I124" i="3"/>
  <c r="J123" i="3"/>
  <c r="I123" i="3"/>
  <c r="J122" i="3"/>
  <c r="I122" i="3"/>
  <c r="J121" i="3"/>
  <c r="I121" i="3"/>
  <c r="J120" i="3"/>
  <c r="I120" i="3"/>
  <c r="J119" i="3"/>
  <c r="I119" i="3"/>
  <c r="J118" i="3"/>
  <c r="I118" i="3"/>
  <c r="J117" i="3"/>
  <c r="I117" i="3"/>
  <c r="J116" i="3"/>
  <c r="I116" i="3"/>
  <c r="J115"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J13" i="2"/>
  <c r="A13" i="2"/>
  <c r="J12" i="2"/>
  <c r="A12" i="2"/>
  <c r="J11" i="2"/>
  <c r="A11" i="2"/>
  <c r="J10" i="2"/>
  <c r="A10" i="2"/>
  <c r="J9" i="2"/>
  <c r="A9" i="2"/>
  <c r="J8" i="2"/>
  <c r="A8" i="2"/>
  <c r="J7" i="2"/>
  <c r="A7" i="2"/>
  <c r="J6" i="2"/>
  <c r="A6" i="2"/>
  <c r="J5" i="2"/>
  <c r="A5" i="2"/>
  <c r="J4" i="2"/>
  <c r="A4" i="2"/>
  <c r="J3" i="2"/>
  <c r="A3" i="2"/>
  <c r="J2" i="2"/>
  <c r="A2" i="2"/>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alcChain>
</file>

<file path=xl/sharedStrings.xml><?xml version="1.0" encoding="utf-8"?>
<sst xmlns="http://schemas.openxmlformats.org/spreadsheetml/2006/main" count="7926" uniqueCount="3164">
  <si>
    <t>Screen_ID</t>
  </si>
  <si>
    <t>Database</t>
  </si>
  <si>
    <t>Title</t>
  </si>
  <si>
    <t>Authors</t>
  </si>
  <si>
    <t>Year</t>
  </si>
  <si>
    <t>DOI</t>
  </si>
  <si>
    <t>Journal</t>
  </si>
  <si>
    <t>Screen_Status</t>
  </si>
  <si>
    <t>Exclusion_Reason</t>
  </si>
  <si>
    <t>Notes</t>
  </si>
  <si>
    <t>Date</t>
  </si>
  <si>
    <t>Screener</t>
  </si>
  <si>
    <t>C001</t>
  </si>
  <si>
    <t>Cochrane</t>
  </si>
  <si>
    <t>Primary‐level and community worker interventions for the prevention of mental disorders and the promotion of well‐being in low‐ and middle‐income countries</t>
  </si>
  <si>
    <t>Purgato, M and Prina, E and Ceccarelli, C and Cadorin, C and Abdulmalik, JO and Amaddeo, F and Arcari, L and Churchill, R and Jordans, MJD and Lund, C and et al.</t>
  </si>
  <si>
    <t>doi.org/10.1002/14651858.CD014722.pub2</t>
  </si>
  <si>
    <t>Cochrane Database of Systematic Reviews</t>
  </si>
  <si>
    <t>Include</t>
  </si>
  <si>
    <t>15-11-2025</t>
  </si>
  <si>
    <t>Ali Azlan</t>
  </si>
  <si>
    <t>C002</t>
  </si>
  <si>
    <t>Antiviral medications for preventing cytomegalovirus disease in solid organ transplant recipients</t>
  </si>
  <si>
    <t>Vernooij, RWM and Michael, M and Ladhani, M and Webster, AC and Strippoli, GFM and Craig, JC and Hodson, EM</t>
  </si>
  <si>
    <t>doi.org/10.1002/14651858.CD003774.pub5</t>
  </si>
  <si>
    <t>C003</t>
  </si>
  <si>
    <t>Phosphodiesterase 5 inhibitors (PDE5i) for the treatment of Raynaud's phenomenon</t>
  </si>
  <si>
    <t>Maltez, N and Maxwell, LJ and Rirash, F and Tanjong Ghogomu, E and Harding, SE and Tingey, PC and Wells, GA and Tugwell, P and Pope, J</t>
  </si>
  <si>
    <t>doi.org/10.1002/14651858.CD014089</t>
  </si>
  <si>
    <t>Exclude</t>
  </si>
  <si>
    <t>&lt;20 studies</t>
  </si>
  <si>
    <t>8 RCTs</t>
  </si>
  <si>
    <t>C004</t>
  </si>
  <si>
    <t>Rapid point of care test for detecting urogenital Chlamydia trachomatis infection in nonpregnant women and men at reproductive age</t>
  </si>
  <si>
    <t>Grillo‐Ardila, CF and Torres, M and Gaitán, HG</t>
  </si>
  <si>
    <t>doi.org/10.1002/14651858.CD011708.pub2</t>
  </si>
  <si>
    <t>19 Studies</t>
  </si>
  <si>
    <t>C005</t>
  </si>
  <si>
    <t>Preoperative hair removal to reduce surgical site infection</t>
  </si>
  <si>
    <t>Tanner, J and Melen, K</t>
  </si>
  <si>
    <t>doi.org/10.1002/14651858.CD004122.pub5</t>
  </si>
  <si>
    <t>15 studies with DOIs</t>
  </si>
  <si>
    <t>C006</t>
  </si>
  <si>
    <t>Endometrial preparation for women undergoing embryo transfer with frozen embryos or embryos derived from donor oocytes</t>
  </si>
  <si>
    <t>Glujovsky, D and Pesce, R and Sueldo, C and Quinteiro Retamar, AM and Hart, RJ and Ciapponi, A</t>
  </si>
  <si>
    <t>doi.org/10.1002/14651858.CD006359.pub3</t>
  </si>
  <si>
    <t>C007</t>
  </si>
  <si>
    <t>Interventions for great saphenous vein incompetence</t>
  </si>
  <si>
    <t>Whing, J and Nandhra, S and Nesbitt, C and Stansby, G</t>
  </si>
  <si>
    <t>doi.org/10.1002/14651858.CD005624.pub4</t>
  </si>
  <si>
    <t>C008</t>
  </si>
  <si>
    <t>Surgical versus non‐surgical interventions for treating patellar dislocation</t>
  </si>
  <si>
    <t>Smith, TO and Gaukroger, A and Metcalfe, A and Hing, CB</t>
  </si>
  <si>
    <t>doi.org/10.1002/14651858.CD008106.pub4</t>
  </si>
  <si>
    <t>10 studies</t>
  </si>
  <si>
    <t>C009</t>
  </si>
  <si>
    <t>Appendectomy versus antibiotic treatment for acute appendicitis</t>
  </si>
  <si>
    <t>Wilms, IMHA and Suykerbuyk-de Hoog, DENM and de Visser, DC and Janzing, HMJ</t>
  </si>
  <si>
    <t>doi.org/10.1002/14651858.CD008359.pub3</t>
  </si>
  <si>
    <t>Other</t>
  </si>
  <si>
    <t>Review withdrawn</t>
  </si>
  <si>
    <t>C010</t>
  </si>
  <si>
    <t>Local versus radical surgery for early rectal cancer with or without neoadjuvant or adjuvant therapy</t>
  </si>
  <si>
    <t>Motamedi, MAK and Mak, NT and Brown, CJ and Raval, MJ and Karimuddin, AA and Giustini, D and Phang, PTerry</t>
  </si>
  <si>
    <t>doi.org/10.1002/14651858.CD002198.pub3</t>
  </si>
  <si>
    <t>4 studies</t>
  </si>
  <si>
    <t>C011</t>
  </si>
  <si>
    <t>Probiotics for treating acute infectious diarrhoea</t>
  </si>
  <si>
    <t>Collinson, S and Deans, A and Padua-Zamora, A and Gregorio, GV and Li, C and Dans, LF and Allen, SJ</t>
  </si>
  <si>
    <t>doi.org/10.1002/14651858.CD003048.pub4</t>
  </si>
  <si>
    <t>C012</t>
  </si>
  <si>
    <t>Induction of labour at or beyond 37 weeks' gestation</t>
  </si>
  <si>
    <t>Middleton, P and Shepherd, E and Morris, J and Crowther, CA and Gomersall, JC</t>
  </si>
  <si>
    <t>doi.org/10.1002/14651858.CD004945.pub5</t>
  </si>
  <si>
    <t>CA001</t>
  </si>
  <si>
    <t>Campbell</t>
  </si>
  <si>
    <t>The effects of flipped classrooms to improve learning outcomes in undergraduate health professional education: A systematic review</t>
  </si>
  <si>
    <t>Naing, Cho and Whittaker, Maxine A. and Aung, Htar Htar and Chellappan, Dinesh Kumar and Riegelman, Amy</t>
  </si>
  <si>
    <t>https://doi.org/10.1002/cl2.1339</t>
  </si>
  <si>
    <t>Campbell Systematic Reviews</t>
  </si>
  <si>
    <t>CA002</t>
  </si>
  <si>
    <t>What is the effect of intergenerational activities on the wellbeing and mental health of children and young people?: A systematic review</t>
  </si>
  <si>
    <t>Campbell, Fiona and Whear, Rebecca and Rogers, Morwenna and Sutton, Anthea and Barlow, Jane and Booth, Andrew and Tattersall, Andrew and Wolstenholme, Louise and Thompson-Coon, Joanna</t>
  </si>
  <si>
    <t>https://doi.org/10.1002/cl2.1429</t>
  </si>
  <si>
    <t>5 Studies</t>
  </si>
  <si>
    <t>CA003</t>
  </si>
  <si>
    <t>Revisiting the effectiveness of cognitive-behavioural therapy for reducing reoffending in the criminal justice system: A systematic review</t>
  </si>
  <si>
    <t>Smith, Andrew and Roberts, Anton and Krzemieniewska-Nandwani, Karolina and Eggins, Elizabeth and Cook, Will and Fox, Chris and Maruna, Shadd and Wallace, Stephanie and Szifris, Kirstine</t>
  </si>
  <si>
    <t>https://doi.org/10.1002/cl2.1425</t>
  </si>
  <si>
    <t>Study list unavailable</t>
  </si>
  <si>
    <t>CA004</t>
  </si>
  <si>
    <t>Exploring COVID-19 education to support vaccine confidence amongst the general adult population with special considerations for healthcare and long-term care staff: A scoping review</t>
  </si>
  <si>
    <t>Murmann, Maya and Reed, Anna Cooper and Scott, Mary and Presseau, Justin and Heer, Carrie and May, Kathryn and Ramzy, Amy and Huynh, Chau N. and Skidmore, Becky and Welch, Vivian and Little, Julian and Wilson, Kumanan and Brouwers, Melissa and Hsu, Amy T.</t>
  </si>
  <si>
    <t>https://doi.org/10.1002/cl2.1352</t>
  </si>
  <si>
    <t>Rapid/scoping review</t>
  </si>
  <si>
    <t>CA005</t>
  </si>
  <si>
    <t>Searching and reporting in Campbell Collaboration systematic reviews: A systematic assessment of current methods</t>
  </si>
  <si>
    <t>Young, Sarah and MacDonald, Heather and Louden, Diana and Ellis, Ursula M. and Premji, Zahra and Rogers, Morwenna and Bethel, Alison and Pickup, David</t>
  </si>
  <si>
    <t>https://doi.org/10.1002/cl2.1432</t>
  </si>
  <si>
    <t>Not a systematic review</t>
  </si>
  <si>
    <t>CA006</t>
  </si>
  <si>
    <t>Self-management interventions for reducing challenging behaviors among school-age students: A systematic review</t>
  </si>
  <si>
    <t>Smith, Tyler E. and Thompson, Aaron M. and Maynard, Brandy R.</t>
  </si>
  <si>
    <t>https://doi.org/10.1002/cl2.1223</t>
  </si>
  <si>
    <t>CA007</t>
  </si>
  <si>
    <t>What is the effect of intergenerational activities on the wellbeing and mental health of older people?: A systematic review</t>
  </si>
  <si>
    <t>Whear, Rebecca and Campbell, Fiona and Rogers, Morwenna and Sutton, Anthea and Robinson-Carter, Ellie and Sharpe, Richard and Cohen, Stuart and Fergy, Ronald and Garside, Ruth and Kneale, Dylan and Melendez-Torres, G. J. and Thompson-Coon, Joanna</t>
  </si>
  <si>
    <t>https://doi.org/10.1002/cl2.1355</t>
  </si>
  <si>
    <t>14 trials</t>
  </si>
  <si>
    <t>CA008</t>
  </si>
  <si>
    <t>Participation in organised sport to improve and prevent adverse developmental trajectories of at-risk youth: A systematic review</t>
  </si>
  <si>
    <t>Filges, Trine and Verner, Mette and Ladekjær, Else and Bengtsen, Elizabeth</t>
  </si>
  <si>
    <t>https://doi.org/10.1002/cl2.1381</t>
  </si>
  <si>
    <t>13 studies</t>
  </si>
  <si>
    <t>CA009</t>
  </si>
  <si>
    <t>The impacts of agroforestry interventions on agricultural productivity, ecosystem services, and human well-being in low- and middle-income countries: A systematic review</t>
  </si>
  <si>
    <t>Castle, Sarah E. and Miller, Daniel C. and Ordonez, Pablo J. and Baylis, Kathy and Hughes, Karl</t>
  </si>
  <si>
    <t>https://doi.org/10.1002/cl2.1167</t>
  </si>
  <si>
    <t>11 studies</t>
  </si>
  <si>
    <t>CA010</t>
  </si>
  <si>
    <t>The methodological and reporting characteristics of Campbell reviews: A systematic review</t>
  </si>
  <si>
    <t>Wang, Xiaoqin and Welch, Vivian and Li, Meixuan and Yao, Liang and Littell, Julia and Li, Huijuan and Yang, Nan and Wang, Jianjian and Shamseer, Larissa and Chen, Yaolong and Yang, Kehu and Grimshaw, Jeremy M.</t>
  </si>
  <si>
    <t>https://doi.org/10.1002/cl2.1134</t>
  </si>
  <si>
    <t>Umbrella Review</t>
  </si>
  <si>
    <t>CA011</t>
  </si>
  <si>
    <t>Multifaceted interventions for supporting community participation among adults with disabilities: A systematic review</t>
  </si>
  <si>
    <t>Gross, Judith M. S. and Monroe-Gulick, Amalia and Nye, Chad and Davidson-Gibbs, Debbie and Dedrick, Devin</t>
  </si>
  <si>
    <t>https://doi.org/10.1002/cl2.1092</t>
  </si>
  <si>
    <t>15 studies</t>
  </si>
  <si>
    <t>CA012</t>
  </si>
  <si>
    <t>Communication skills training for improving the communicative abilities of student social workers: A systematic review</t>
  </si>
  <si>
    <t>Reith-Hall, Emma and Montgomery, Paul</t>
  </si>
  <si>
    <t>https://doi.org/10.1002/cl2.1309</t>
  </si>
  <si>
    <t>CA013</t>
  </si>
  <si>
    <t>Effectiveness of interventions to manage acute malnutrition in children under 5 years of age in low- and middle-income countries: A systematic review</t>
  </si>
  <si>
    <t>Das, Jai K. and Salam, Rehana A. and Saeed, Marwah and Kazmi, Faheem Ali and Bhutta, Zulfiqar A.</t>
  </si>
  <si>
    <t>https://doi.org/10.1002/cl2.1082</t>
  </si>
  <si>
    <t>CA014</t>
  </si>
  <si>
    <t>Aquaculture for improving productivity, income, nutrition and women's empowerment in low- and middle-income countries: A systematic review and meta-analysis</t>
  </si>
  <si>
    <t>Gonzalez Parrao, Constanza and Shisler, Shannon and Moratti, Marta and Yavuz, Cem and Acharya, Arnab and Eyers, John and Snilstveit, Birte</t>
  </si>
  <si>
    <t>https://doi.org/10.1002/cl2.1195</t>
  </si>
  <si>
    <t>CA015</t>
  </si>
  <si>
    <t>Montessori education's impact on academic and nonacademic outcomes: A systematic review</t>
  </si>
  <si>
    <t>Randolph, Justus J. and Bryson, Anaya and Menon, Lakshmi and Henderson, David K. and Kureethara Manuel, Austin and Michaels, Stephen and rosenstein, debra leigh walls and McPherson, Warren and O'Grady, Rebecca and Lillard, Angeline S.</t>
  </si>
  <si>
    <t>https://doi.org/10.1002/cl2.1330</t>
  </si>
  <si>
    <t>Less than 20 studies with DOI</t>
  </si>
  <si>
    <t>CA016</t>
  </si>
  <si>
    <t>Effectiveness of interpersonal psychotherapy in comparison to other psychological and pharmacological interventions for reducing depressive symptoms in women diagnosed with postpartum depression in low- and middle-income countries: A systematic review</t>
  </si>
  <si>
    <t>Kang, Harmeet Kaur and Bisht, Bandana and Kaur, Manmeet and Alexis, Obrey and Worsley, Aaron and John, Denny</t>
  </si>
  <si>
    <t>https://doi.org/10.1002/cl2.1399</t>
  </si>
  <si>
    <t>CA017</t>
  </si>
  <si>
    <t>Mental disorder, psychological problems and terrorist behaviour: A systematic review and meta-analysis</t>
  </si>
  <si>
    <t>Sarma, Kiran M. and Carthy, Sarah L. and Cox, Katie M.</t>
  </si>
  <si>
    <t>https://doi.org/10.1002/cl2.1268</t>
  </si>
  <si>
    <t>E001</t>
  </si>
  <si>
    <t>CEE</t>
  </si>
  <si>
    <t>Changes in cropland soil carbon through improved management practices in China: A meta-analysis</t>
  </si>
  <si>
    <t>Lin, B.-J.; Li, R.-C.; Yang, M.-Y.; Kan, Z.-R.; Virk, A.L.; Bohoussou, Y.N.; Zhao, X.; Dang, Y.P.; Zhang, H.-L.</t>
  </si>
  <si>
    <t>doi.org/10.1016/j.jenvman.2022.117065</t>
  </si>
  <si>
    <t>Journal of Environmental Management</t>
  </si>
  <si>
    <t>E002</t>
  </si>
  <si>
    <t>Microplastic fibers — Underestimated threat to aquatic organisms?</t>
  </si>
  <si>
    <t>Rebelein, A.; Int-Veen, I.; Kammann, U.; Scharsack, J.P.</t>
  </si>
  <si>
    <t>doi.org/10.1016/j.scitotenv.2021.146045</t>
  </si>
  <si>
    <t>Science of the Total Environment</t>
  </si>
  <si>
    <t>Not SR</t>
  </si>
  <si>
    <t>E003</t>
  </si>
  <si>
    <t>Biochar impacts on runoff and soil erosion by water: A systematic global scale meta-analysis</t>
  </si>
  <si>
    <t>Gholamahmadi, B.; Jeffery, S.; Gonzalez-Pelayo, O.; Prats, S.A.; Bastos, A.C.; Keizer, J.J.; Verheijen, F.G.A.</t>
  </si>
  <si>
    <t>doi.org/10.1016/j.scitotenv.2023.161860</t>
  </si>
  <si>
    <t>E004</t>
  </si>
  <si>
    <t>Global nitrogen input on wetland ecosystem: The driving mechanism of soil labile carbon and nitrogen on greenhouse gas emissions</t>
  </si>
  <si>
    <t>Chen, M. L.; Chang, L.; Zhang, J. M.; Guo, F. C.; Vymazal, J.; He, Q.; Chen, Y.</t>
  </si>
  <si>
    <t>doi.org/10.1016/j.ese.2020.100063</t>
  </si>
  <si>
    <t>Environmental Science and Ecotechnology</t>
  </si>
  <si>
    <t>E005</t>
  </si>
  <si>
    <t>A meta-analysis of the effects of harvesting on the abundance and richness of soil fauna in boreal and temperate forests.</t>
  </si>
  <si>
    <t>Kudrin, A.; Perminova, E.; Taskaeva, A.; Ditts, A.; Konakova, T.</t>
  </si>
  <si>
    <t>doi.org/10.3390/f14050923</t>
  </si>
  <si>
    <t>Forests</t>
  </si>
  <si>
    <t>E006</t>
  </si>
  <si>
    <t>Plastic pollution in croplands threatens long-term food security</t>
  </si>
  <si>
    <t>Zhang, D.; Ng, E. L.; Hu, W.; Wang, H.; Galaviz, P.; Yang, H.; Sun, W.; Li, C.; Ma, X.; Fu, B.; Zhao, P.; Zhang, F.; Jin, S.; Zhou, M.; Du, L.; Peng, C.; Zhang, X.; Xu, Z.; Xi, B.; Liu, X.; Sun, S.; Cheng, Z.; Jiang, L.; Wang, Y.; Gong, L.; Kou, C.; Li, Y.; Ma, Y.; Huang, D.; Zhu, J.; Yao, J.; Lin, C.; Qin, S.; Zhou, L.; He, B.; Chen, D.; Li, H.; Zhai, L.; Lei, Q.; Wu, S.; Zhang, Y.; Pan, J.; Gu, B.; Liu, H.</t>
  </si>
  <si>
    <t>doi.org/10.1111/gcb.15043</t>
  </si>
  <si>
    <t>Global Change Biology</t>
  </si>
  <si>
    <t>Primary research</t>
  </si>
  <si>
    <t>E007</t>
  </si>
  <si>
    <t>The contribution of understorey vegetation to ecosystem evapotranspiration in boreal and temperate forests: a literature review and analysis</t>
  </si>
  <si>
    <t>Balandier, P.; Gobin, R.; Prévosto, B.; Korboulewsky, N.</t>
  </si>
  <si>
    <t>doi.org/10.1007/s10342-022-01505-0</t>
  </si>
  <si>
    <t>European Journal of Forest Research</t>
  </si>
  <si>
    <t>Lit review</t>
  </si>
  <si>
    <t>E008</t>
  </si>
  <si>
    <t>Minimum tillage and residue retention increase soil microbial population size and diversity: Implications for conservation tillage</t>
  </si>
  <si>
    <t>Li, Y.; Zhang, Q.; Cai, Y.; Yang, Q.; Chang, S.X.</t>
  </si>
  <si>
    <t>doi.org/10.1016/j.scitotenv.2020.137164</t>
  </si>
  <si>
    <t>E009</t>
  </si>
  <si>
    <t>A meta-analysis contrasting active versus passive restoration practices in dryland agricultural ecosystems</t>
  </si>
  <si>
    <t>Miguel, M. F.; Butterfield, H. S.; Lortie, C. J.</t>
  </si>
  <si>
    <t>doi.org/10.7717/peerj.10428</t>
  </si>
  <si>
    <t>Peerj</t>
  </si>
  <si>
    <t>Review_ID</t>
  </si>
  <si>
    <t>Total_Studies</t>
  </si>
  <si>
    <t>Studies_with_DOI</t>
  </si>
  <si>
    <t>DOI_Percent</t>
  </si>
  <si>
    <t>Full Text File</t>
  </si>
  <si>
    <t>Extraction_Complete</t>
  </si>
  <si>
    <t>R01.pdf</t>
  </si>
  <si>
    <t>R02.pdf</t>
  </si>
  <si>
    <t>R03.pdf</t>
  </si>
  <si>
    <t>R04.pdf</t>
  </si>
  <si>
    <t>R05.pdf</t>
  </si>
  <si>
    <t>R06.pdf</t>
  </si>
  <si>
    <t>R07.pdf</t>
  </si>
  <si>
    <t>R08.pdf</t>
  </si>
  <si>
    <t>R09.pdf</t>
  </si>
  <si>
    <t>R10.pdf</t>
  </si>
  <si>
    <t>R11.pdf</t>
  </si>
  <si>
    <t>R12.pdf</t>
  </si>
  <si>
    <t>Sr #</t>
  </si>
  <si>
    <t>Study_ID</t>
  </si>
  <si>
    <t>Tertile</t>
  </si>
  <si>
    <t>Has_DOI</t>
  </si>
  <si>
    <t>DOI Verified</t>
  </si>
  <si>
    <t>R01_S001</t>
  </si>
  <si>
    <t>R01</t>
  </si>
  <si>
    <t>https://doi.org/10.1002/wps.20939</t>
  </si>
  <si>
    <t>Effectiveness of a WHO self-help psychological intervention for preventing mental disorders among Syrian refugees in Turkey...</t>
  </si>
  <si>
    <t>Acarturk</t>
  </si>
  <si>
    <t>World Psychiatry</t>
  </si>
  <si>
    <t>R01_S002</t>
  </si>
  <si>
    <t>https://doi.org/10.1111/j.1469-7610.2011.02407.x</t>
  </si>
  <si>
    <t>The impact of the school-based psychosocial structured activities (PSSA) program on conflict-affected children...</t>
  </si>
  <si>
    <t>Ager</t>
  </si>
  <si>
    <t>Journal of Child Psychology and Psychiatry</t>
  </si>
  <si>
    <t>R01_S003</t>
  </si>
  <si>
    <t>https://doi.org/10.1007/s10566-019-09535-3</t>
  </si>
  <si>
    <t>Cluster randomized trial of a multicomponent school-based program in Mexico to prevent behavioral problems...</t>
  </si>
  <si>
    <t>Amador Buenabad</t>
  </si>
  <si>
    <t>Child &amp; Youth Care Forum</t>
  </si>
  <si>
    <t>R01_S004</t>
  </si>
  <si>
    <t>https://doi.org/10.1007/s11121-016-0728-2</t>
  </si>
  <si>
    <t>Improving mental health outcomes of Burmese migrant and displaced children in Thailand...</t>
  </si>
  <si>
    <t>Annan</t>
  </si>
  <si>
    <t>Prevention Science</t>
  </si>
  <si>
    <t>R01_S005</t>
  </si>
  <si>
    <t>https://doi.org/10.1177/1533317514523668</t>
  </si>
  <si>
    <t>Evaluation of a group cognitive-behavioral dementia caregiver intervention in Latin America</t>
  </si>
  <si>
    <t>Arango-Lasprilla</t>
  </si>
  <si>
    <t>American Journal of Alzheimer's Disease &amp; Other Dementias</t>
  </si>
  <si>
    <t>R01_S006</t>
  </si>
  <si>
    <t>https://doi.org/10.1371/journal.pone.0252513</t>
  </si>
  <si>
    <t>Integrating a problem-solving intervention with routine care to improve psychosocial functioning among mothers...</t>
  </si>
  <si>
    <t>Asnani</t>
  </si>
  <si>
    <t>PLOS One</t>
  </si>
  <si>
    <t>R01_S007</t>
  </si>
  <si>
    <t>https://doi.org/10.1136/bmj.g5785</t>
  </si>
  <si>
    <t>Using the infrastructure of a conditional cash transfer program to deliver a scalable integrated early child development program...</t>
  </si>
  <si>
    <t>Attanasio</t>
  </si>
  <si>
    <t>BMJ</t>
  </si>
  <si>
    <t>R01_S008</t>
  </si>
  <si>
    <t>https://doi.org/10.1136/adc.2005.073015</t>
  </si>
  <si>
    <t>The effect of early stimulation on maternal depression: a cluster randomised controlled trial</t>
  </si>
  <si>
    <t>Baker-Henningham</t>
  </si>
  <si>
    <t>Archives of Disease in Childhood</t>
  </si>
  <si>
    <t>R01_S009</t>
  </si>
  <si>
    <t>https://doi.org/10.3390/ijerph16152797</t>
  </si>
  <si>
    <t>Evaluation of a violence-prevention programme with Jamaican primary school teachers...</t>
  </si>
  <si>
    <t>International Journal of Environmental Research and Public Health</t>
  </si>
  <si>
    <t>R01_S010</t>
  </si>
  <si>
    <t>https://doi.org/10.3390/ijerph16020267</t>
  </si>
  <si>
    <t>Effect of a Multicomponent Intervention on Lifestyle Factors among Brazilian Adolescents...</t>
  </si>
  <si>
    <t>Barbosa Filho</t>
  </si>
  <si>
    <t>IJERPH</t>
  </si>
  <si>
    <t>R01_S011</t>
  </si>
  <si>
    <t>https://doi.org/10.4102/ajod.v8i0.428</t>
  </si>
  <si>
    <t>Improvements in health-related quality of life and function in middle-aged women...</t>
  </si>
  <si>
    <t>Barnes</t>
  </si>
  <si>
    <t>African Journal of Disability</t>
  </si>
  <si>
    <t>R01_S012</t>
  </si>
  <si>
    <t>https://doi.org/10.1016/j.jad.2021.06.002</t>
  </si>
  <si>
    <t>Effect of a lay counselor-delivered integrated maternal mental health and early childhood development...</t>
  </si>
  <si>
    <t>Baumgartner</t>
  </si>
  <si>
    <t>Global Mental Health</t>
  </si>
  <si>
    <t>R01_S013</t>
  </si>
  <si>
    <t>https://doi.org/10.1016/s0027-9684(15)31408-5</t>
  </si>
  <si>
    <t>Building protective factors to offset sexually risky behaviors among black youths...</t>
  </si>
  <si>
    <t>Bell</t>
  </si>
  <si>
    <t>Journal of the National Medical Association</t>
  </si>
  <si>
    <t>R01_S014</t>
  </si>
  <si>
    <t>https://doi.org/10.1177/1363461518793749</t>
  </si>
  <si>
    <t>Enhancing resiliency and promoting prosocial behavior among Tanzanian primary-school students...</t>
  </si>
  <si>
    <t>Berger</t>
  </si>
  <si>
    <t>Transcultural Psychiatry</t>
  </si>
  <si>
    <t>R01_S015</t>
  </si>
  <si>
    <t>https://doi.org/10.1590/2177-9465-EAN-2019-0133</t>
  </si>
  <si>
    <t>Effects of Hatha Yoga on caregivers of children and adolescents with cancer...</t>
  </si>
  <si>
    <t>Bernardi</t>
  </si>
  <si>
    <t>Escola Anna Nery</t>
  </si>
  <si>
    <t>R01_S016</t>
  </si>
  <si>
    <t>https://doi.org/10.1111/jcpp.12729</t>
  </si>
  <si>
    <t>Family-based promotion of mental health in children affected by HIV: a pilot randomized controlled trial</t>
  </si>
  <si>
    <t>Betancourt</t>
  </si>
  <si>
    <t>R01_S017</t>
  </si>
  <si>
    <t>http://doi.org/10.15649/cuidarte.2002</t>
  </si>
  <si>
    <t>Randomized controlled trial of a multicomponent program for informal caregivers of Alzheimer's patients...</t>
  </si>
  <si>
    <t>Cerquera Córdoba</t>
  </si>
  <si>
    <t>Revista Cuidarte</t>
  </si>
  <si>
    <t>R01_S018</t>
  </si>
  <si>
    <t>10.34172/jcs.2021.014</t>
  </si>
  <si>
    <t>The effect of midwife-led psycho-education on parental stress, postpartum depression and parental competency...</t>
  </si>
  <si>
    <t>Chaharrahifard</t>
  </si>
  <si>
    <t>Journal of Caring Sciences</t>
  </si>
  <si>
    <t>R01_S019</t>
  </si>
  <si>
    <t>https://doi.org/10.1542/peds.2015-0119</t>
  </si>
  <si>
    <t>Integrating a parenting intervention with routine primary health care: a cluster randomized trial</t>
  </si>
  <si>
    <t>Chang</t>
  </si>
  <si>
    <t>Pediatrics</t>
  </si>
  <si>
    <t>R01_S020</t>
  </si>
  <si>
    <t>https://doi.org/10.1097/gme.0b013e318167b902</t>
  </si>
  <si>
    <t>Treating the climacteric symptoms in Indian women with an integrated approach to yoga therapy...</t>
  </si>
  <si>
    <t>Chattha</t>
  </si>
  <si>
    <t>Menopause</t>
  </si>
  <si>
    <t>R01_S021</t>
  </si>
  <si>
    <r>
      <rPr>
        <u/>
        <sz val="10"/>
        <color rgb="FF1155CC"/>
        <rFont val="Arial"/>
      </rPr>
      <t>10.1016/j.ijnurstu.2019.103407</t>
    </r>
  </si>
  <si>
    <t>The effects of an empowerment-based self-management intervention on empowerment level...</t>
  </si>
  <si>
    <t>Cheng</t>
  </si>
  <si>
    <t>International Journal of Nursing Studies</t>
  </si>
  <si>
    <t>R01_S022</t>
  </si>
  <si>
    <t>https://doi.org/10.1111/dme.13615</t>
  </si>
  <si>
    <t>The effectiveness of an emotion-focused educational programme in reducing diabetes distress...</t>
  </si>
  <si>
    <t>Chew</t>
  </si>
  <si>
    <t>Diabetic Medicine</t>
  </si>
  <si>
    <t>R01_S023</t>
  </si>
  <si>
    <t>https://doi.org/10.1186/s12905-019-0744-z</t>
  </si>
  <si>
    <t>Women's circles as a culturally safe psychosocial intervention in Guatemalan indigenous communities...</t>
  </si>
  <si>
    <t>Chomat</t>
  </si>
  <si>
    <t>BMC Women's Health</t>
  </si>
  <si>
    <t>R01_S024</t>
  </si>
  <si>
    <t>https://doi.org/10.1136/bmj.b974</t>
  </si>
  <si>
    <t>Improving quality of mother-infant relationship and infant attachment in socioeconomically deprived community...</t>
  </si>
  <si>
    <t>Cooper</t>
  </si>
  <si>
    <t>R01_S025</t>
  </si>
  <si>
    <t>https://doi.org/10.29252/ANM.27792</t>
  </si>
  <si>
    <t>Evaluation of group consulting on pregnancy anxiety: a randomized clinical trial</t>
  </si>
  <si>
    <t>Dayhimi</t>
  </si>
  <si>
    <t>Advances in Nursing &amp; Midwifery</t>
  </si>
  <si>
    <t>R01_S026</t>
  </si>
  <si>
    <t>https://doi.org/10.1016/s2214-109x(15)00060-1</t>
  </si>
  <si>
    <t>The Good School Toolkit for reducing physical violence from school staff to primary school students...</t>
  </si>
  <si>
    <t>Devries</t>
  </si>
  <si>
    <t>Lancet Global Health</t>
  </si>
  <si>
    <t>R01_S027</t>
  </si>
  <si>
    <t>https://doi.org/10.1371/journal.pone.0223046</t>
  </si>
  <si>
    <t>Effect of psycho-social support by teachers on improving mental health and hope of adolescents...</t>
  </si>
  <si>
    <t>Dhital</t>
  </si>
  <si>
    <t>R01_S028</t>
  </si>
  <si>
    <t>https://doi.org/10.1371/journal.pone.0002333</t>
  </si>
  <si>
    <t>The effectiveness of a home care program for supporting caregivers of persons with dementia in developing countries...</t>
  </si>
  <si>
    <t>Dias</t>
  </si>
  <si>
    <t>R01_S029</t>
  </si>
  <si>
    <r>
      <rPr>
        <u/>
        <sz val="10"/>
        <color rgb="FF1155CC"/>
        <rFont val="Arial"/>
      </rPr>
      <t>10.1001/jamapsychiatry.2018.3048</t>
    </r>
  </si>
  <si>
    <t>Effect of a lay counselor intervention on prevention of major depression in older adults...</t>
  </si>
  <si>
    <t>JAMA Psychiatry</t>
  </si>
  <si>
    <t>R01_S030</t>
  </si>
  <si>
    <t>https://doi.org/10.1177/1049731517699525</t>
  </si>
  <si>
    <t>Randomized trial investigating of a single-session character-strength-based cognitive intervention...</t>
  </si>
  <si>
    <t>Duan</t>
  </si>
  <si>
    <t>Research on Social Work Practice</t>
  </si>
  <si>
    <t>R01_S031</t>
  </si>
  <si>
    <t>https://doi.org/10.1111/psyg.12734</t>
  </si>
  <si>
    <t>Investigation of the effects of interventions made according to the Progressively Lowered Stress Threshold Model...</t>
  </si>
  <si>
    <t>Duru Aşiret</t>
  </si>
  <si>
    <t>Psychogeriatrics</t>
  </si>
  <si>
    <t>R01_S032</t>
  </si>
  <si>
    <t>https://doi.org/10.1111/1467-8624.00343</t>
  </si>
  <si>
    <t>Children and mothers in war: an outcome study of a psychosocial intervention program</t>
  </si>
  <si>
    <t>Dybdahl</t>
  </si>
  <si>
    <t>Child Development</t>
  </si>
  <si>
    <t>R01_S033</t>
  </si>
  <si>
    <t>https://doi.org/10.1097/qad.0000000000000335</t>
  </si>
  <si>
    <t>A randomized clinical trial of an intervention to promote resilience in young children of HIV-positive mothers...</t>
  </si>
  <si>
    <t>Eloff</t>
  </si>
  <si>
    <t>AIDS</t>
  </si>
  <si>
    <t>R01_S034</t>
  </si>
  <si>
    <r>
      <rPr>
        <u/>
        <sz val="10"/>
        <color rgb="FF1155CC"/>
        <rFont val="&quot;Open Sans&quot;, sans-serif"/>
      </rPr>
      <t>https://doi.org/10.1080/03601277.2012.701157</t>
    </r>
  </si>
  <si>
    <t>Effects of third age learning programs on the life satisfaction, self-esteem, and depression level...</t>
  </si>
  <si>
    <t>Escolar Chua</t>
  </si>
  <si>
    <t>Educational Gerontology</t>
  </si>
  <si>
    <t>R01_S035</t>
  </si>
  <si>
    <t>https://doi.org/10.1371/journal.pmed.1003808</t>
  </si>
  <si>
    <t>The Empa Teach intervention for reducing physical violence from teachers to students...</t>
  </si>
  <si>
    <t>Fabbri</t>
  </si>
  <si>
    <t>PLOS Medicine</t>
  </si>
  <si>
    <t>R01_S036</t>
  </si>
  <si>
    <t>https://doi.org/10.4103/ijoy.ijoy_57_17</t>
  </si>
  <si>
    <t>The impact of Yoga Nidra and seated meditation on the mental health of college professors</t>
  </si>
  <si>
    <t>Ferreira-Vorkapic</t>
  </si>
  <si>
    <t>International Journal of Yoga</t>
  </si>
  <si>
    <t>R01_S037</t>
  </si>
  <si>
    <t>https://doi.org/10.1016/j.brat.2021.103944</t>
  </si>
  <si>
    <t>Improving mental health in low-resource settings: a feasibility randomized controlled trial...</t>
  </si>
  <si>
    <t>Fine</t>
  </si>
  <si>
    <t>Behaviour Research and Therapy</t>
  </si>
  <si>
    <t>R01_S038</t>
  </si>
  <si>
    <t>https://doi.org/10.1016/j.ijnurstu.2014.06.006</t>
  </si>
  <si>
    <t>Effects of an interpersonal-psychotherapy-oriented postnatal programme for Chinese first-time mothers...</t>
  </si>
  <si>
    <t>Gao</t>
  </si>
  <si>
    <t>R01_S039</t>
  </si>
  <si>
    <t>https://doi.org/10.1590/s1516-44462010005000017</t>
  </si>
  <si>
    <t>Helping carers to care-the 10/66 Dementia Research Group's randomized control trial...</t>
  </si>
  <si>
    <t>Gavrilova</t>
  </si>
  <si>
    <t>International Journal of Geriatric Psychiatry</t>
  </si>
  <si>
    <t>R01_S040</t>
  </si>
  <si>
    <t>https://doi.org/10.1016/j.ajp.2019.101864</t>
  </si>
  <si>
    <t>Effectiveness of a group intervention led by lay health workers in reducing the incidence of postpartum depression...</t>
  </si>
  <si>
    <t>George</t>
  </si>
  <si>
    <t>Asian Journal of Psychiatry</t>
  </si>
  <si>
    <t>R01_S041</t>
  </si>
  <si>
    <r>
      <rPr>
        <u/>
        <sz val="10"/>
        <color rgb="FF1155CC"/>
        <rFont val="Arial"/>
      </rPr>
      <t>10.22038/JMRH.2019.44596.1535</t>
    </r>
  </si>
  <si>
    <t>Effect of counseling based on Gamble's approach on postpartum anxiety in primiparous women</t>
  </si>
  <si>
    <t>Hajarian Abhari</t>
  </si>
  <si>
    <t>Journal of Midwifery and Reproductive Health</t>
  </si>
  <si>
    <t>R01_S042</t>
  </si>
  <si>
    <t>https://doi.org/10.1186/s13033-021-00476-w</t>
  </si>
  <si>
    <t>Effectiveness of a technology-assisted, family volunteers delivered, brief, multicomponent parents' skills training...</t>
  </si>
  <si>
    <t>Hamdani</t>
  </si>
  <si>
    <t>International Journal of Mental Health Systems</t>
  </si>
  <si>
    <t>R01_S043</t>
  </si>
  <si>
    <t>https://doi.org/10.1080/17439760.2019.1590624</t>
  </si>
  <si>
    <t>Resilience and well-being in the Caribbean: Findings from a randomized controlled trial...</t>
  </si>
  <si>
    <t>Hendriks</t>
  </si>
  <si>
    <t>The Journal of Positive Psychology</t>
  </si>
  <si>
    <t>R01_S044</t>
  </si>
  <si>
    <t>https://doi.org/10.1002/trc2.12063</t>
  </si>
  <si>
    <t>Advancing family dementia caregiver interventions in low- and middle-income countries...</t>
  </si>
  <si>
    <t>Hinton</t>
  </si>
  <si>
    <t>Alzheimer's &amp; Dementia</t>
  </si>
  <si>
    <t>R01_S045</t>
  </si>
  <si>
    <t>Testing a community derived intervention to promote women's health: preliminary results...</t>
  </si>
  <si>
    <t>Hirani</t>
  </si>
  <si>
    <t>Southern Online Journal of Nursing Research</t>
  </si>
  <si>
    <t>R01_S046</t>
  </si>
  <si>
    <t>https://doi.org/10.1007/s00038-018-1101-y</t>
  </si>
  <si>
    <t>Social support intervention to promote resilience and quality of life in women living in Karachi...</t>
  </si>
  <si>
    <t>International Journal of Public Health</t>
  </si>
  <si>
    <t>R01_S047</t>
  </si>
  <si>
    <r>
      <rPr>
        <u/>
        <sz val="12"/>
        <color rgb="FF1155CC"/>
        <rFont val="Arial"/>
        <scheme val="minor"/>
      </rPr>
      <t>10.1007/s11121-017-0822-0</t>
    </r>
  </si>
  <si>
    <t>Transportability of an evidence-based early childhood intervention in a low-income African country...</t>
  </si>
  <si>
    <t>Huang</t>
  </si>
  <si>
    <t>R01_S048</t>
  </si>
  <si>
    <r>
      <rPr>
        <u/>
        <sz val="10"/>
        <color rgb="FF1155CC"/>
        <rFont val="&quot;Open Sans&quot;, sans-serif"/>
      </rPr>
      <t>https://doi.org/10.1080/01443410.2021.1922611</t>
    </r>
  </si>
  <si>
    <t>Positive youth development in Belize: a cluster-randomised trial of Positive Action</t>
  </si>
  <si>
    <t>Hull</t>
  </si>
  <si>
    <t>Educational Psychology</t>
  </si>
  <si>
    <t>R01_S049</t>
  </si>
  <si>
    <t>https://doi.org/10.1111/jnu.12580</t>
  </si>
  <si>
    <t>Progressive muscle relaxation and mindfulness meditation on neuropathic pain, fatigue...</t>
  </si>
  <si>
    <t>Izgu</t>
  </si>
  <si>
    <t>Journal of Nursing Scholarship</t>
  </si>
  <si>
    <t>R01_S050</t>
  </si>
  <si>
    <t>The effect of life skills training on mental health of Iranian middle school students...</t>
  </si>
  <si>
    <t>Jamali</t>
  </si>
  <si>
    <t>Iranian Journal of Psychiatry</t>
  </si>
  <si>
    <t>R01_S051</t>
  </si>
  <si>
    <t>https://doi.org/10.1017/S0033291719000163</t>
  </si>
  <si>
    <t>Integrating mental health and disaster preparedness in intervention: a randomized controlled trial...</t>
  </si>
  <si>
    <t>James</t>
  </si>
  <si>
    <t>Psychological Medicine</t>
  </si>
  <si>
    <t>R01_S052</t>
  </si>
  <si>
    <t>https://doi.org/10.1136/bmj.a506</t>
  </si>
  <si>
    <t>Impact of Stepping Stones on incidence of HIV and HSV-2 and sexual behaviour in rural South Africa...</t>
  </si>
  <si>
    <t>Jewkes</t>
  </si>
  <si>
    <t>R01_S053</t>
  </si>
  <si>
    <r>
      <rPr>
        <u/>
        <sz val="10"/>
        <color rgb="FF1155CC"/>
        <rFont val="Arial"/>
      </rPr>
      <t>10.2147/DMSO.S290029</t>
    </r>
  </si>
  <si>
    <t>The effectiveness of a self-efficacy-focused structured education program (SSEP)...</t>
  </si>
  <si>
    <t>Jiang</t>
  </si>
  <si>
    <t>Diabetes, Metabolic Syndrome and Obesity</t>
  </si>
  <si>
    <t>R01_S054</t>
  </si>
  <si>
    <t>https://doi.org/10.1111/j.1469-7610.2010.02209.x</t>
  </si>
  <si>
    <t>Evaluation of a classroom-based psychosocial intervention in conflict-affected Nepal...</t>
  </si>
  <si>
    <t>Jordans</t>
  </si>
  <si>
    <t>R01_S055</t>
  </si>
  <si>
    <t>https://doi.org/10.1080/16549716.2020.1836604</t>
  </si>
  <si>
    <t>Right To Play's intervention to reduce peer violence among children in public schools in Pakistan...</t>
  </si>
  <si>
    <t>Karmaliani</t>
  </si>
  <si>
    <t>Global Health Action</t>
  </si>
  <si>
    <t>R01_S056</t>
  </si>
  <si>
    <t>https://doi.org/10.3399/bjgpopen18x101593</t>
  </si>
  <si>
    <t>Is integrated private-clinic based early child development care effective?</t>
  </si>
  <si>
    <t>Khan</t>
  </si>
  <si>
    <t>BJGP Open</t>
  </si>
  <si>
    <t>R01_S057</t>
  </si>
  <si>
    <t>https://doi.org/10.1521/aeap.2020.32.1.67</t>
  </si>
  <si>
    <t>Acceptability, feasibility, and preliminary efficacy of a resilience-oriented family intervention...</t>
  </si>
  <si>
    <t>Kuo</t>
  </si>
  <si>
    <t>AIDS Education and Prevention</t>
  </si>
  <si>
    <t>R01_S058</t>
  </si>
  <si>
    <t>https://doi.org/10.1016/j.chiabu.2017.08.014</t>
  </si>
  <si>
    <t>Randomized controlled trial of a parenting program to reduce the risk of child maltreatment in South Africa</t>
  </si>
  <si>
    <t>Lachman</t>
  </si>
  <si>
    <t>Child Abuse &amp; Neglect</t>
  </si>
  <si>
    <t>R01_S059</t>
  </si>
  <si>
    <t>https://doi.org/10.1136/bmjgh-2020-002349</t>
  </si>
  <si>
    <t>Combining parenting and economic strengthening programmes to reduce violence against children...</t>
  </si>
  <si>
    <t>BMJ Global Health</t>
  </si>
  <si>
    <t>R01_S060</t>
  </si>
  <si>
    <t>https://doi.org/10.1016/0277-9536(95)00262-6</t>
  </si>
  <si>
    <t>The Latin American trial of psychosocial support during pregnancy: effects on mother's wellbeing...</t>
  </si>
  <si>
    <t>Langer</t>
  </si>
  <si>
    <t>Social Science &amp; Medicine</t>
  </si>
  <si>
    <t>R01_S061</t>
  </si>
  <si>
    <t>https://doi.org/10.1016/j.ahj.2019.08.022</t>
  </si>
  <si>
    <t>Grenada Heart Project-community health action to encourage healthy behaviors...</t>
  </si>
  <si>
    <t>Latina</t>
  </si>
  <si>
    <t>American Heart Journal</t>
  </si>
  <si>
    <t>R01_S062</t>
  </si>
  <si>
    <t>https://doi.org/10.1016/j.adolescence.2015.09.011</t>
  </si>
  <si>
    <t>Building psychosocial assets and wellbeing among adolescent girls: a randomized controlled trial</t>
  </si>
  <si>
    <t>Leventhal</t>
  </si>
  <si>
    <t>Journal of Adolescence</t>
  </si>
  <si>
    <t>R01_S063</t>
  </si>
  <si>
    <t>https://doi.org/10.1037/hea0000503</t>
  </si>
  <si>
    <t>Efficacy of a multilevel intervention on the mental health of people living with HIV...</t>
  </si>
  <si>
    <t>Li</t>
  </si>
  <si>
    <t>Health Psychology</t>
  </si>
  <si>
    <t>R01_S064</t>
  </si>
  <si>
    <t>https://doi.org/10.1080/10376178.2020.1729827</t>
  </si>
  <si>
    <t>Cognitive behavior stress management during pregnancy: a randomized controlled trial</t>
  </si>
  <si>
    <t>Contemporary Nurse</t>
  </si>
  <si>
    <t>R01_S065</t>
  </si>
  <si>
    <r>
      <rPr>
        <u/>
        <sz val="10"/>
        <color rgb="FF1155CC"/>
        <rFont val="Arial"/>
      </rPr>
      <t>10.1016/S2214-109X(20)30469-1</t>
    </r>
  </si>
  <si>
    <t>Group-based parenting interventions to promote child development in rural Kenya...</t>
  </si>
  <si>
    <t>Luoto</t>
  </si>
  <si>
    <t>R01_S066</t>
  </si>
  <si>
    <t>https://doi.org/10.7448/ias.17.1.18802</t>
  </si>
  <si>
    <t>Families as catalysts for peer adherence support in enhancing hope for people living with HIV/AIDS...</t>
  </si>
  <si>
    <t>Masquillier</t>
  </si>
  <si>
    <t>Journal of the International AIDS Society</t>
  </si>
  <si>
    <t>R01_S067</t>
  </si>
  <si>
    <t>https://doi.org/10.1111/jan.12624</t>
  </si>
  <si>
    <t>A randomized controlled trial of guided self-help for improving the experience of caring for carers...</t>
  </si>
  <si>
    <t>McCann</t>
  </si>
  <si>
    <t>Journal of Advanced Nursing</t>
  </si>
  <si>
    <t>R01_S068</t>
  </si>
  <si>
    <t>https://doi.org/10.1067/mpd.2000.110135</t>
  </si>
  <si>
    <t>A randomized controlled trial of alternative modes of service provision to young children with cerebral palsy...</t>
  </si>
  <si>
    <t>McConachie</t>
  </si>
  <si>
    <t>Journal of Pediatrics</t>
  </si>
  <si>
    <t>R01_S069</t>
  </si>
  <si>
    <t>https://doi.org/10.1016/j.chiabu.2020.104512</t>
  </si>
  <si>
    <t>Supporting Syrian families displaced by armed conflict: a pilot randomized controlled trial...</t>
  </si>
  <si>
    <t>Miller</t>
  </si>
  <si>
    <t>R01_S070</t>
  </si>
  <si>
    <t>https://doi.org/10.4103/jnms.jnms_65_20</t>
  </si>
  <si>
    <t>Comparison of the effect of motivational interview and peer group education on knowledge...</t>
  </si>
  <si>
    <t>Mohamadi</t>
  </si>
  <si>
    <t>Journal of Nursing and Midwifery Sciences</t>
  </si>
  <si>
    <t>R01_S071</t>
  </si>
  <si>
    <t>https://doi.org/10.1097/wad.0000000000000256</t>
  </si>
  <si>
    <t>Effects of the Tailored Activity Program in Brazil (TAP-BR) for persons with dementia: a randomized pilot trial</t>
  </si>
  <si>
    <t>Novelli</t>
  </si>
  <si>
    <t>Alzheimer Disease &amp; Associated Disorders</t>
  </si>
  <si>
    <t>R01_S072</t>
  </si>
  <si>
    <t>http://doi.org/10.1037/ccp0000505</t>
  </si>
  <si>
    <t>Single-session digital intervention for adolescent depression, anxiety, and well-being...</t>
  </si>
  <si>
    <t>Osborn</t>
  </si>
  <si>
    <t>Journal of Consulting and Clinical Psychology</t>
  </si>
  <si>
    <t>R01_S073</t>
  </si>
  <si>
    <t>https://doi.org/10.1080/07399332.2020.1797038</t>
  </si>
  <si>
    <t>Using Levine's conservation model in postpartum care: a randomized controlled trial</t>
  </si>
  <si>
    <t>Ozcan</t>
  </si>
  <si>
    <t>Health Care for Women International</t>
  </si>
  <si>
    <t>R01_S074</t>
  </si>
  <si>
    <t>https://doi.org/10.1016/j.chiabu.2014.02.004</t>
  </si>
  <si>
    <t>A pilot study of a family focused, psychosocial intervention with war-exposed youth...</t>
  </si>
  <si>
    <t>O'Callaghan</t>
  </si>
  <si>
    <t>R01_S075</t>
  </si>
  <si>
    <t>https://doi.org/10.1111/jcpp.12832</t>
  </si>
  <si>
    <t>Insecurity, distress and mental health: experimental and randomized controlled trials...</t>
  </si>
  <si>
    <t>Panter-Brick</t>
  </si>
  <si>
    <t>R01_S076</t>
  </si>
  <si>
    <t>https://doi.org/10.1161/CIRCULATIONAHA.118.038192</t>
  </si>
  <si>
    <t>Effectiveness of an mHealth-based electronic decision support system for integrated management...</t>
  </si>
  <si>
    <t>Prabhakaran</t>
  </si>
  <si>
    <t>Circulation</t>
  </si>
  <si>
    <t>R01_S077</t>
  </si>
  <si>
    <t>Effectiveness of a home visit programme by youth volunteers on health-related quality of life...</t>
  </si>
  <si>
    <t>Rachasrimuang</t>
  </si>
  <si>
    <t>Journal of the Medical Association of Thailand</t>
  </si>
  <si>
    <t>R01_S078</t>
  </si>
  <si>
    <t>https://doi.org/10.30476/ijcbnm.2021.88061.1484</t>
  </si>
  <si>
    <t>The effect of peer support with telecommunication on subjective well-being in colorectal patients...</t>
  </si>
  <si>
    <t>Rahimi</t>
  </si>
  <si>
    <t>International Journal of Community Based Nursing and Midwifery</t>
  </si>
  <si>
    <t>R01_S079</t>
  </si>
  <si>
    <t>https://doi.org/10.1111/j.1365-2214.2008.00897.x</t>
  </si>
  <si>
    <t>Cluster randomized trial of a parent-based intervention to support early development of children...</t>
  </si>
  <si>
    <t>Rahman</t>
  </si>
  <si>
    <t>Child: Care, Health and Development</t>
  </si>
  <si>
    <t>R01_S080</t>
  </si>
  <si>
    <t>https://doi.org/10.4103/ijnmr.ijnmr_207_18</t>
  </si>
  <si>
    <t>Efficacy of progressive muscle relaxation on pregnancy outcome among anxious Indian primi mothers</t>
  </si>
  <si>
    <t>Rajeswari</t>
  </si>
  <si>
    <t>Iranian Journal of Nursing and Midwifery Research</t>
  </si>
  <si>
    <t>R01_S081</t>
  </si>
  <si>
    <t>https://doi.org/10.1080/02646838.2016.1266470</t>
  </si>
  <si>
    <t>The effect of cognitive-behavioural and solution-focused counselling on prevention of postpartum depression...</t>
  </si>
  <si>
    <t>Ramezani</t>
  </si>
  <si>
    <t>Journal of Reproductive and Infant Psychology</t>
  </si>
  <si>
    <t>R01_S082</t>
  </si>
  <si>
    <t>Effects of mind sound resonance technique (yogic relaxation) on psychological states...</t>
  </si>
  <si>
    <t>Rao</t>
  </si>
  <si>
    <t>Advances in Mind-Body Medicine</t>
  </si>
  <si>
    <t>R01_S083</t>
  </si>
  <si>
    <t>https://doi.org/10.1186/1471-2458-14-619</t>
  </si>
  <si>
    <t>Physical fitness and mental health impact of a sport-for-development intervention...</t>
  </si>
  <si>
    <t>Richards</t>
  </si>
  <si>
    <t>BMC Public Health</t>
  </si>
  <si>
    <t>R01_S084</t>
  </si>
  <si>
    <t>https://doi.org/10.1111/j.1475-3588.2010.00584.x</t>
  </si>
  <si>
    <t>Preventing adolescent depression in Mauritius: a universal school-based program</t>
  </si>
  <si>
    <t>Rivet-Duval</t>
  </si>
  <si>
    <t>Child and Adolescent Mental Health</t>
  </si>
  <si>
    <t>R01_S085</t>
  </si>
  <si>
    <t>https://doi.org/10.1371/journal.pmed.1002555</t>
  </si>
  <si>
    <t>Two-year impact of community-based health screening and parenting groups on child development...</t>
  </si>
  <si>
    <t>Rockers</t>
  </si>
  <si>
    <t>R01_S086</t>
  </si>
  <si>
    <t>https://doi.org/10.2196/25772</t>
  </si>
  <si>
    <t>The use of task shifting to improve treatment engagement in an internet-based mindfulness intervention...</t>
  </si>
  <si>
    <t>Rodriguez</t>
  </si>
  <si>
    <t>JMIR Formative Research</t>
  </si>
  <si>
    <t>R01_S087</t>
  </si>
  <si>
    <t>https://doi.org/10.1016/j.ctcp.2021.101434</t>
  </si>
  <si>
    <t>Efficacy of yoga on physiological and psychological discomforts and delivery outcomes...</t>
  </si>
  <si>
    <t>Rong</t>
  </si>
  <si>
    <t>Complementary Therapies in Clinical Practice</t>
  </si>
  <si>
    <t>R01_S088</t>
  </si>
  <si>
    <t>https://doi.org/10.1186/s12909-021-02813-6</t>
  </si>
  <si>
    <t>Improvement of the management of mental well-being and empathy in Chinese medical students...</t>
  </si>
  <si>
    <t>BMC Medical Education</t>
  </si>
  <si>
    <t>R01_S089</t>
  </si>
  <si>
    <t>https://doi.org/10.1371/journal.pone.0084867</t>
  </si>
  <si>
    <t>A cluster randomized controlled trial evaluating the efficacy of peer mentors to support South African women...</t>
  </si>
  <si>
    <t>Rotheram-Borus</t>
  </si>
  <si>
    <t>PLOS ONE</t>
  </si>
  <si>
    <t>R01_S090</t>
  </si>
  <si>
    <t>https://doi.org/10.1371/journal.pone.0105934</t>
  </si>
  <si>
    <t>A cluster randomised controlled effectiveness trial evaluating perinatal home visiting...</t>
  </si>
  <si>
    <t>R01_S091</t>
  </si>
  <si>
    <t>https://doi.org/10.1136/bmjopen-2020-040287</t>
  </si>
  <si>
    <t>Community psychosocial music intervention (CHIME) to reduce antenatal common mental disorder symptoms...</t>
  </si>
  <si>
    <t>Sanfilippo</t>
  </si>
  <si>
    <t>BMJ Open</t>
  </si>
  <si>
    <t>R01_S092</t>
  </si>
  <si>
    <t>https://doi.org/10.1017/s2045796020000414</t>
  </si>
  <si>
    <t>Feasibility of Group Problem Management Plus (PM+) to improve mental health and functioning...</t>
  </si>
  <si>
    <t>Sangraula</t>
  </si>
  <si>
    <t>Epidemiology and Psychiatric Sciences</t>
  </si>
  <si>
    <t>R01_S093</t>
  </si>
  <si>
    <t>https://doi.org/10.1016/j.socscimed.2008.09.061</t>
  </si>
  <si>
    <t>Evaluation of a peer network intervention trial among young methamphetamine users...</t>
  </si>
  <si>
    <t>Sherman</t>
  </si>
  <si>
    <t>R01_S094</t>
  </si>
  <si>
    <t>https://doi.org/10.1016/s0140-6736(18)31615-5</t>
  </si>
  <si>
    <t>Promoting school climate and health outcomes with the SEHER multi-component secondary school intervention...</t>
  </si>
  <si>
    <t>Shinde</t>
  </si>
  <si>
    <t>Lancet</t>
  </si>
  <si>
    <t>R01_S095</t>
  </si>
  <si>
    <t>https://doi.org/10.1016/s2214-109x(15)00099-6</t>
  </si>
  <si>
    <t>Effects of a parenting intervention to address maternal psychological wellbeing and child development...</t>
  </si>
  <si>
    <t>Singla</t>
  </si>
  <si>
    <t>R01_S096</t>
  </si>
  <si>
    <t>https://doi.org/10.1177/0886260517736881</t>
  </si>
  <si>
    <t>Evaluation of parenting interventions to prevent violence against children in Colombia...</t>
  </si>
  <si>
    <t>Skar</t>
  </si>
  <si>
    <t>Journal of Interpersonal Violence</t>
  </si>
  <si>
    <t>R01_S097</t>
  </si>
  <si>
    <t>https://doi.org/10.1016/j.ijnurstu.2019.02.019</t>
  </si>
  <si>
    <t>Effects of a moderate-intensity aerobic exercise programme on the cognitive function...</t>
  </si>
  <si>
    <t>Song</t>
  </si>
  <si>
    <t>R01_S098</t>
  </si>
  <si>
    <t>https://doi.org/10.14283/jpad.2019.42</t>
  </si>
  <si>
    <t>Effects of a group-based 8-week multicomponent cognitive training on cognition...</t>
  </si>
  <si>
    <t>Srisuwan</t>
  </si>
  <si>
    <t>Journal of Prevention of Alzheimer's Disease</t>
  </si>
  <si>
    <t>R01_S099</t>
  </si>
  <si>
    <t>https://doi.org/10.1016/s2214-109x(17)30146-8</t>
  </si>
  <si>
    <t>Effect of a bereavement support group on female adolescents' psychological health...</t>
  </si>
  <si>
    <t>Thurman</t>
  </si>
  <si>
    <t>R01_S100</t>
  </si>
  <si>
    <t>https://doi.org/10.1590/0034-7167-2016-0353</t>
  </si>
  <si>
    <t>Influence of Therapeutic Play on the anxiety of hospitalized school-age children...</t>
  </si>
  <si>
    <t>Tobias da Silva</t>
  </si>
  <si>
    <t>Revista Brasileira de Enfermagem</t>
  </si>
  <si>
    <t>R01_S101</t>
  </si>
  <si>
    <t>https://doi.org/10.1016/j.wpsyc.2012.05.008</t>
  </si>
  <si>
    <t>Outcomes and moderators of a preventive school-based mental health intervention...</t>
  </si>
  <si>
    <t>Tol</t>
  </si>
  <si>
    <t>R01_S102</t>
  </si>
  <si>
    <t>https://doi.org/10.1016/s0140-6736(04)17021-9</t>
  </si>
  <si>
    <t>Effect of a participatory intervention with women's groups on birth outcomes...</t>
  </si>
  <si>
    <t>Tripathy</t>
  </si>
  <si>
    <t>R01_S103</t>
  </si>
  <si>
    <t>https://doi.org/10.1002/nur.22123</t>
  </si>
  <si>
    <t>Efficacy of a multimodal nursing intervention strategy in the process of becoming a mother...</t>
  </si>
  <si>
    <t>Vargas-Porras</t>
  </si>
  <si>
    <t>Research in Nursing &amp; Health</t>
  </si>
  <si>
    <t>R01_S104</t>
  </si>
  <si>
    <t>https://doi.org/10.1111/j.1740-8709.2012.00413.x</t>
  </si>
  <si>
    <t>Cluster-randomized trial on complementary and responsive feeding education to caregivers...</t>
  </si>
  <si>
    <t>Vazir</t>
  </si>
  <si>
    <t>Maternal &amp; Child Nutrition</t>
  </si>
  <si>
    <t>R01_S105</t>
  </si>
  <si>
    <t>https://doi.org/10.1080/13803611.2015.1111804</t>
  </si>
  <si>
    <t>Yoga for the prevention of depression, anxiety, and aggression and the promotion...</t>
  </si>
  <si>
    <t>Velásquez</t>
  </si>
  <si>
    <t>Educational Research and Evaluation</t>
  </si>
  <si>
    <t>R01_S106</t>
  </si>
  <si>
    <t>https://doi.org/10.1111/jcpp.13129</t>
  </si>
  <si>
    <t>Parenting for lifelong health for young children: a randomized controlled trial...</t>
  </si>
  <si>
    <t>Ward</t>
  </si>
  <si>
    <t>R01_S107</t>
  </si>
  <si>
    <t>https://doi.org/10.1186/s12889-019-6447-4</t>
  </si>
  <si>
    <t>Effectiveness of community adolescent treatment supporters (CATS) interventions...</t>
  </si>
  <si>
    <t>Willis</t>
  </si>
  <si>
    <t>R01_S108</t>
  </si>
  <si>
    <t>https://doi.org/10.1111/dme.14491</t>
  </si>
  <si>
    <t>Effect of group cognitive behavioural therapy on psychological stress and blood glucose...</t>
  </si>
  <si>
    <t>Xu</t>
  </si>
  <si>
    <t>R01_S109</t>
  </si>
  <si>
    <t>https://doi.org/10.1002/nop2.917</t>
  </si>
  <si>
    <t>Effects of comprehensive intervention on life quality among the elderly with Alzheimer disease...</t>
  </si>
  <si>
    <t>Yang</t>
  </si>
  <si>
    <t>Nursing Open</t>
  </si>
  <si>
    <t>R01_S110</t>
  </si>
  <si>
    <t>https://doi.org/10.1002/jts.20531</t>
  </si>
  <si>
    <t>A randomized trial of a reconciliation workshop with and without PTSD psychoeducation...</t>
  </si>
  <si>
    <t>Yeomans</t>
  </si>
  <si>
    <t>Journal of Traumatic Stress</t>
  </si>
  <si>
    <t>R01_S111</t>
  </si>
  <si>
    <t>https://doi.org/10.1037//1522-3736.5.1.59a</t>
  </si>
  <si>
    <t>Preventing depressive symptoms in Chinese children</t>
  </si>
  <si>
    <t>Yu</t>
  </si>
  <si>
    <t>Prevention &amp; Treatment</t>
  </si>
  <si>
    <t>R01_S112</t>
  </si>
  <si>
    <t>https://doi.org/10.1016/j.jtumed.2014.08.003</t>
  </si>
  <si>
    <t>A DEAL-based intervention for the reduction of depression, denial, self-blame...</t>
  </si>
  <si>
    <t>Yusoff</t>
  </si>
  <si>
    <t>Journal of Taibah University Medical Sciences</t>
  </si>
  <si>
    <t>R01_S113</t>
  </si>
  <si>
    <t>https://doi.org/10.1080/03601271003689514</t>
  </si>
  <si>
    <t>Individualized health intervention: behavioral change and quality of life...</t>
  </si>
  <si>
    <t>Zhou</t>
  </si>
  <si>
    <t>R03_S001</t>
  </si>
  <si>
    <t>R03</t>
  </si>
  <si>
    <t>https://doi.org/10.4274/tjod.47855</t>
  </si>
  <si>
    <t>Natural cycle versus artificial cycle in frozen-thawed embryo transfer: a randomized prospective trial</t>
  </si>
  <si>
    <t>Agha-Hosseini</t>
  </si>
  <si>
    <t>Turkish Journal of Obstetrics and Gynecology</t>
  </si>
  <si>
    <t>R03_S002</t>
  </si>
  <si>
    <t>https://doi.org/10.29252/ijrm.15.2.83</t>
  </si>
  <si>
    <t>Can letrozole plus HMG protocol improve pregnancy outcomes in frozen-thawed embryo transfer? An RCT</t>
  </si>
  <si>
    <t>Aleyasin</t>
  </si>
  <si>
    <t>International Journal of Reproductive Biomedicine</t>
  </si>
  <si>
    <t>R03_S003</t>
  </si>
  <si>
    <t>https://doi.org/10.1016/s0015-0282(16)58405-2</t>
  </si>
  <si>
    <t>Glucocorticoid administration during transfer of frozen-thawed embryos: a prospective, randomized study</t>
  </si>
  <si>
    <t>Bider</t>
  </si>
  <si>
    <t>Fertility and Sterility</t>
  </si>
  <si>
    <t>R03_S004</t>
  </si>
  <si>
    <t>https://doi.org/10.1016/s0015-0282(02)03043-1</t>
  </si>
  <si>
    <t>Neither sildenafil nor vaginal estradiol improved endometrial thickness in women with thin endometria...</t>
  </si>
  <si>
    <t>Check</t>
  </si>
  <si>
    <t>Annual Meeting of the Pacific Coast Reproductive Society</t>
  </si>
  <si>
    <t>R03_S005</t>
  </si>
  <si>
    <t>https://doi.org/10.1016/j.fertnstert.2015.07.1131</t>
  </si>
  <si>
    <t>Randomized, controlled pilot trial of natural versus hormone replacement therapy cycles in frozen embryo replacement...</t>
  </si>
  <si>
    <t>Child</t>
  </si>
  <si>
    <t>R03_S006</t>
  </si>
  <si>
    <t>https://doi.org/10.1016/s0015-0282(02)02960-6</t>
  </si>
  <si>
    <t>Endometrial preparation for frozen-thawed embryo transfer with or without pretreatment with gonadotropin-releasing hormone agonist</t>
  </si>
  <si>
    <t>Dal Prato</t>
  </si>
  <si>
    <t>R03_S007</t>
  </si>
  <si>
    <t>https://doi.org/10.3923/jms.2007.880.883</t>
  </si>
  <si>
    <t>Transfer of cryopreserved-thawed embryos in a cycle using exogenous steroids with or without prior gonadotrophin-releasing hormone agonist</t>
  </si>
  <si>
    <t>Davar</t>
  </si>
  <si>
    <t>Journal of Medical Sciences</t>
  </si>
  <si>
    <t>R03_S008</t>
  </si>
  <si>
    <t>A comparison of the effects of transdermal estradiol and estradiol valerate on endometrial receptivity in frozen-thawed embryo transfer cycles</t>
  </si>
  <si>
    <t>Journal of Reproduction and Infertility</t>
  </si>
  <si>
    <t>R03_S009</t>
  </si>
  <si>
    <t>https://doi.org/10.18502/ijrm.v13i5.7150</t>
  </si>
  <si>
    <t>Endometrial preparation using gonadotropin-releasing hormone agonist prior to frozen-thawed embryo transfer in women with repeated implantation failure</t>
  </si>
  <si>
    <t>International Journal of Reproductive BioMedicine</t>
  </si>
  <si>
    <t>R03_S010</t>
  </si>
  <si>
    <t>https://doi.org/10.1016/j.fertnstert.2007.07.1106</t>
  </si>
  <si>
    <t>Length of progesterone treatment before transfer and implantation rates of frozen-thawed blastocysts</t>
  </si>
  <si>
    <t>Ding</t>
  </si>
  <si>
    <t>ASRM Annual Meeting</t>
  </si>
  <si>
    <t>R03_S011</t>
  </si>
  <si>
    <t>https://doi.org/10.1093/humrep/deh183</t>
  </si>
  <si>
    <t>Pituitary suppression in ultrasound-monitored frozen embryo replacement cycles. A randomised study</t>
  </si>
  <si>
    <t>El-Toukhy</t>
  </si>
  <si>
    <t>Human Reproduction</t>
  </si>
  <si>
    <t>R03_S012</t>
  </si>
  <si>
    <t>https://doi.org/10.1016/j.fertnstert.2005.12.048</t>
  </si>
  <si>
    <t>Delaying the initiation of progesterone supplementation until the day of fertilization does not compromise cycle outcome...</t>
  </si>
  <si>
    <t>Escriba</t>
  </si>
  <si>
    <t>R03_S013</t>
  </si>
  <si>
    <t>https://doi.org/10.1007/s10815-016-0736-y</t>
  </si>
  <si>
    <t>The endometrial preparation for frozen-thawed euploid blastocyst transfer: a prospective randomized trial...</t>
  </si>
  <si>
    <t>Greco</t>
  </si>
  <si>
    <t>Journal of Assisted Reproduction and Genetics</t>
  </si>
  <si>
    <t>R03_S014</t>
  </si>
  <si>
    <t>https://doi.org/10.1093/humrep/dew120</t>
  </si>
  <si>
    <t>A randomized controlled, non-inferiority trial of modified natural versus artificial cycle for cryo-thawed embryo transfer</t>
  </si>
  <si>
    <t>Groenewoud</t>
  </si>
  <si>
    <t>R03_S015</t>
  </si>
  <si>
    <t>Nafarelin acetate vs leuprolide acetate in women with ovarian function undergoing oocyte donation</t>
  </si>
  <si>
    <t>Gutierrez</t>
  </si>
  <si>
    <t>R03_S016</t>
  </si>
  <si>
    <t>https://doi.org/10.1007/s10815-018-1380-5</t>
  </si>
  <si>
    <t>Transdermal versus oral estrogen: clinical outcomes in patients undergoing frozen-thawed single blastocyst transfer cycles...</t>
  </si>
  <si>
    <t>Kahraman</t>
  </si>
  <si>
    <t>R03_S017</t>
  </si>
  <si>
    <t>Comparison of clinical outcome of frozen-thawed embryo transfer cycles between natural and artificial (hormone-treated) cycles</t>
  </si>
  <si>
    <t>Lee</t>
  </si>
  <si>
    <t>ESHRE Annual Meeting</t>
  </si>
  <si>
    <t>R03_S018</t>
  </si>
  <si>
    <t>https://doi.org/10.1111/jog.13802</t>
  </si>
  <si>
    <t>Does low-dose aspirin improve pregnancy rate in women undergoing frozen-thawed embryo transfer cycle?</t>
  </si>
  <si>
    <t>Madani</t>
  </si>
  <si>
    <t>Journal of Obstetrics and Gynaecology Research</t>
  </si>
  <si>
    <t>R03_S019</t>
  </si>
  <si>
    <t>https://doi.org/10.1016/j.fertnstert.2014.07.777</t>
  </si>
  <si>
    <t>Clinical and ongoing pregnancy rates are improved by the addition of letrozole in the hormone replacement cycles...</t>
  </si>
  <si>
    <t>Matsuura</t>
  </si>
  <si>
    <t>R03_S020</t>
  </si>
  <si>
    <t>https://doi.org/10.1016/s0015-0282(16)57428-7</t>
  </si>
  <si>
    <t>Low-dose glucocorticoids after in vitro fertilization and embryo transfer have no significant effect on pregnancy rate</t>
  </si>
  <si>
    <t>Moffitt</t>
  </si>
  <si>
    <t>R03_S021</t>
  </si>
  <si>
    <t>Endometrial preparation for women undergoing embryo transfer frozen-thawed embryo transfer with and without pretreatment...</t>
  </si>
  <si>
    <t>Movahedi</t>
  </si>
  <si>
    <t>Journal of Family and Reproductive Health</t>
  </si>
  <si>
    <t>R03_S022</t>
  </si>
  <si>
    <t>Artificial endometrial preparation for frozen-thawed embryo transfer with or without pretreatment...</t>
  </si>
  <si>
    <t>Nekoo</t>
  </si>
  <si>
    <t>R03_S023</t>
  </si>
  <si>
    <t>https://doi.org/10.1016/j.fertnstert.2007.07.370</t>
  </si>
  <si>
    <t>Prospective randomized study to compare frozen thawed embryo transfer cycles outcomes in women...</t>
  </si>
  <si>
    <t>Ramos</t>
  </si>
  <si>
    <t>R03_S024</t>
  </si>
  <si>
    <t>https://doi.org/10.1093/oxfordjournals.humrep.a138790</t>
  </si>
  <si>
    <t>The use of gonadotrophin-releasing hormone analogues in women receiving oocyte donation does not affect implantation rates</t>
  </si>
  <si>
    <t>Remohi</t>
  </si>
  <si>
    <t>R03_S025</t>
  </si>
  <si>
    <t>https://doi.org/10.29252/ijrm.16.9.587</t>
  </si>
  <si>
    <t>Frozen thawed embryo transfer cycles; a comparison of pregnancy outcomes with and without prior pituitary suppression...</t>
  </si>
  <si>
    <t>Samsami</t>
  </si>
  <si>
    <t>R03_S026</t>
  </si>
  <si>
    <t>https://doi.org/10.18502/ijrm.v17i12.5793</t>
  </si>
  <si>
    <t>Frozen embryo transfer: Endometrial preparation by letrozole versus hormone replacement cycle: A randomized clinical trial</t>
  </si>
  <si>
    <t>R03_S027</t>
  </si>
  <si>
    <t>https://doi.org/10.5935/1518-0557.20180040</t>
  </si>
  <si>
    <t>Reproductive outcomes of vitrified blastocyst transfer in modified natural cycle versus mild hormonally stimulated...</t>
  </si>
  <si>
    <t>Sheikhi</t>
  </si>
  <si>
    <t>JBRA Assisted Reproduction</t>
  </si>
  <si>
    <t>R03_S028</t>
  </si>
  <si>
    <t>https://doi.org/10.29252/ijrm.16.1.51</t>
  </si>
  <si>
    <t>Trans dermal estrogen (oestrogel) for endometrial preparation in freeze embryo transfer cycle: an RCT</t>
  </si>
  <si>
    <t>Tehraninejad</t>
  </si>
  <si>
    <t>R03_S029</t>
  </si>
  <si>
    <t>https://doi.org/10.1016/j.fertnstert.2007.07.890</t>
  </si>
  <si>
    <t>Prospective randomized study to compare use of daily vs. depot GnRH analogue in endometrial preparation...</t>
  </si>
  <si>
    <t>Tocino</t>
  </si>
  <si>
    <t>R03_S030</t>
  </si>
  <si>
    <t>https://doi.org/10.1016/j.fertnstert.2009.07.1654</t>
  </si>
  <si>
    <t>The use of GnRH antagonist in endometrial priming improves oocyte donation outcome</t>
  </si>
  <si>
    <t>Vidal</t>
  </si>
  <si>
    <t>R03_S031</t>
  </si>
  <si>
    <t>https://doi.org/10.1016/s1472-6483(10)61434-4</t>
  </si>
  <si>
    <t>Artificial versus stimulated cycles for endometrial preparation prior to frozen-thawed embryo transfer</t>
  </si>
  <si>
    <t>Wright</t>
  </si>
  <si>
    <t>Reproductive Biomedicine Online</t>
  </si>
  <si>
    <t>R04_S001</t>
  </si>
  <si>
    <t>R04</t>
  </si>
  <si>
    <t>https://doi.org/10.1024/0301-1526/a000792</t>
  </si>
  <si>
    <t>Ablation therapy with cyanoacrylate glue and laser for refluxing great saphenous veins - a prospective randomised study</t>
  </si>
  <si>
    <t>Calik</t>
  </si>
  <si>
    <t>VASA</t>
  </si>
  <si>
    <t>R04_S002</t>
  </si>
  <si>
    <t>https://doi.org/10.1002/bjs.6101</t>
  </si>
  <si>
    <t>Randomized clinical trial comparing endovenous laser ablation with surgery for the treatment of primary great saphenous varicose veins</t>
  </si>
  <si>
    <t>Darwood</t>
  </si>
  <si>
    <t>British Journal of Surgery</t>
  </si>
  <si>
    <t>R04_S003</t>
  </si>
  <si>
    <t>https://doi.org/10.1016/s0741-5214(03)00228-3</t>
  </si>
  <si>
    <t>Prospective randomized study of endovenous radiofrequency obliteration (closure procedure) versus ligation and stripping in a selected patient population (EVOLVES Study)</t>
  </si>
  <si>
    <t>Lurie</t>
  </si>
  <si>
    <t>Journal of Vascular Surgery</t>
  </si>
  <si>
    <t>R04_S004</t>
  </si>
  <si>
    <t>https://doi.org/10.1258/phleb.2011.011147</t>
  </si>
  <si>
    <t>Endovenous laser ablation with and without high ligation compared with high ligation and stripping in the treatment of great saphenous varicose veins: initial results of a multicentre randomized controlled trial</t>
  </si>
  <si>
    <t>Flessenkämper</t>
  </si>
  <si>
    <t>Phlebology</t>
  </si>
  <si>
    <t>R04_S005</t>
  </si>
  <si>
    <t>https://doi.org/10.1002/bjs.8822</t>
  </si>
  <si>
    <t>Randomized clinical trial of ultrasound-guided foam sclerotherapy versus surgery for the incompetent great saphenous vein</t>
  </si>
  <si>
    <t>Shadid</t>
  </si>
  <si>
    <t>R04_S006</t>
  </si>
  <si>
    <t>https://doi.org/10.1177/0003319710380680</t>
  </si>
  <si>
    <t>Great saphenous vein radiofrequency ablation versus standard stripping in the management of primary varicose veins - a randomized clinical trial</t>
  </si>
  <si>
    <t>Helmy ElKaffas</t>
  </si>
  <si>
    <t>Angiology</t>
  </si>
  <si>
    <t>R04_S007</t>
  </si>
  <si>
    <r>
      <rPr>
        <u/>
        <sz val="12"/>
        <color rgb="FF1155CC"/>
        <rFont val="Arial"/>
        <scheme val="minor"/>
      </rPr>
      <t>10.1002/bjs.7394</t>
    </r>
  </si>
  <si>
    <t>Randomized clinical trial of endovenous laser ablation compared with conventional surgery for great saphenous varicose veins</t>
  </si>
  <si>
    <t>Carradice</t>
  </si>
  <si>
    <t>R04_S008</t>
  </si>
  <si>
    <r>
      <rPr>
        <u/>
        <sz val="12"/>
        <color rgb="FF1155CC"/>
        <rFont val="Arial"/>
        <scheme val="minor"/>
      </rPr>
      <t>10.1177/0268355516651026</t>
    </r>
  </si>
  <si>
    <t>A multi-centre randomised controlled trial comparing radiofrequency and mechanical occlusion chemically assisted ablation of varicose veins - final results of the Venefit versus Clarivein for varicose veins trial</t>
  </si>
  <si>
    <t>Lane</t>
  </si>
  <si>
    <t>R04_S009</t>
  </si>
  <si>
    <r>
      <rPr>
        <u/>
        <sz val="12"/>
        <color rgb="FF1155CC"/>
        <rFont val="Arial"/>
        <scheme val="minor"/>
      </rPr>
      <t>10.1002/bjs.9580</t>
    </r>
  </si>
  <si>
    <t>Randomized clinical trial of endovenous laser ablation versus steam ablation (LAST trial) for great saphenous varicose veins</t>
  </si>
  <si>
    <t>Van den Bos</t>
  </si>
  <si>
    <t>R04_S010</t>
  </si>
  <si>
    <r>
      <rPr>
        <u/>
        <sz val="12"/>
        <color rgb="FF1155CC"/>
        <rFont val="Arial"/>
        <scheme val="minor"/>
      </rPr>
      <t>10.1016/j.jvs.2012.12.074</t>
    </r>
  </si>
  <si>
    <t>Comparing endovenous laser ablation, foam sclerotherapy, and conventional surgery for great saphenous varicose veins</t>
  </si>
  <si>
    <t>Biemans</t>
  </si>
  <si>
    <t>R04_S011</t>
  </si>
  <si>
    <r>
      <rPr>
        <u/>
        <sz val="12"/>
        <color rgb="FF1155CC"/>
        <rFont val="Arial"/>
        <scheme val="minor"/>
      </rPr>
      <t>10.1016/j.jvsv.2018.12.014</t>
    </r>
  </si>
  <si>
    <t>Two year results of a multicentre randomised control trial comparing mechanochemical endovenous ablation to radiofrequency ablation in the treatment of primary great saphenous vein incompetence (MARADONA trial)1</t>
  </si>
  <si>
    <t>Holewijn2</t>
  </si>
  <si>
    <t>Journal of Vascular Surgery: Venous and Lymphatic Disorders4</t>
  </si>
  <si>
    <t>R04_S012</t>
  </si>
  <si>
    <r>
      <rPr>
        <u/>
        <sz val="12"/>
        <color rgb="FF1155CC"/>
        <rFont val="Arial"/>
        <scheme val="minor"/>
      </rPr>
      <t>10.1016/j.jvs.2014.11.071</t>
    </r>
  </si>
  <si>
    <t>Randomized trial comparing cyanoacrylate embolization and radiofrequency ablation for incompetent great saphenous veins (VeClose)</t>
  </si>
  <si>
    <t>Morrison</t>
  </si>
  <si>
    <t>R04_S013</t>
  </si>
  <si>
    <r>
      <rPr>
        <u/>
        <sz val="12"/>
        <color rgb="FF1155CC"/>
        <rFont val="Arial"/>
        <scheme val="minor"/>
      </rPr>
      <t>10.1097/SLA.0b013e318230af5a</t>
    </r>
  </si>
  <si>
    <t>A prospective double-blind randomised controlled trial of radiofrequency versus laser treatment of great saphenous varicose veins</t>
  </si>
  <si>
    <t>Nordon</t>
  </si>
  <si>
    <t>Annals of Surgery</t>
  </si>
  <si>
    <t>R04_S014</t>
  </si>
  <si>
    <r>
      <rPr>
        <u/>
        <sz val="12"/>
        <color rgb="FF1155CC"/>
        <rFont val="Arial"/>
        <scheme val="minor"/>
      </rPr>
      <t>10.1016/j.ejvs.2010.08.007</t>
    </r>
  </si>
  <si>
    <t>Randomised controlled trial comparing sapheno-femoral ligation and stripping of the great saphenous vein with endovenous laser ablation (980 nm) using local tumescent anaesthesia: one year results</t>
  </si>
  <si>
    <t>Pronk</t>
  </si>
  <si>
    <t>European Journal of Vascular and Endovascular Surgery</t>
  </si>
  <si>
    <t>R04_S015</t>
  </si>
  <si>
    <r>
      <rPr>
        <u/>
        <sz val="12"/>
        <color rgb="FF1155CC"/>
        <rFont val="Arial"/>
        <scheme val="minor"/>
      </rPr>
      <t>10.1016/j.jvs.2007.03.053</t>
    </r>
  </si>
  <si>
    <t>Randomized trial comparing endovenous laser ablation of the great saphenous vein with high ligation and stripping in patients with varicose veins: short-term results</t>
  </si>
  <si>
    <t>Rasmussen</t>
  </si>
  <si>
    <t>R04_S016</t>
  </si>
  <si>
    <r>
      <rPr>
        <u/>
        <sz val="12"/>
        <color rgb="FF1155CC"/>
        <rFont val="Arial"/>
        <scheme val="minor"/>
      </rPr>
      <t>10.1002/bjs.7555</t>
    </r>
  </si>
  <si>
    <t>Randomized clinical trial comparing endovenous laser ablation, radiofrequency ablation, foam sclerotherapy and surgical stripping for great saphenous varicose veins</t>
  </si>
  <si>
    <t>R04_S017</t>
  </si>
  <si>
    <r>
      <rPr>
        <u/>
        <sz val="12"/>
        <color rgb="FF1155CC"/>
        <rFont val="Arial"/>
        <scheme val="minor"/>
      </rPr>
      <t>10.1067/mva.2002.123096</t>
    </r>
  </si>
  <si>
    <t>Endovenous obliteration versus conventional stripping operation in the treatment of primary varicose veins: a randomized controlled trial with comparison of the costs</t>
  </si>
  <si>
    <t>Rautio</t>
  </si>
  <si>
    <t>R04_S018</t>
  </si>
  <si>
    <r>
      <rPr>
        <u/>
        <sz val="12"/>
        <color rgb="FF1155CC"/>
        <rFont val="Arial"/>
        <scheme val="minor"/>
      </rPr>
      <t>10.1016/j.jvir.2009.03.008</t>
    </r>
  </si>
  <si>
    <t>Radiofrequency endovenous ClosureFAST versus laser ablation for the treatment of great saphenous reflux: a multicenter, single-blinded, randomized study (RECOVERY study)</t>
  </si>
  <si>
    <t>Almeida</t>
  </si>
  <si>
    <t>Journal of Vascular and Interventional Radiology</t>
  </si>
  <si>
    <t>R04_S019</t>
  </si>
  <si>
    <t>https://10.1001/archdermatol.2011.272</t>
  </si>
  <si>
    <t>Comparable effectiveness of endovenous laser ablation and high ligation with stripping of the great saphenous vein: two-year results of a randomized clinical trial (RELACS study)</t>
  </si>
  <si>
    <t>Rass</t>
  </si>
  <si>
    <t>Archives of Dermatology</t>
  </si>
  <si>
    <t>R04_S020</t>
  </si>
  <si>
    <r>
      <rPr>
        <u/>
        <sz val="12"/>
        <color rgb="FF1155CC"/>
        <rFont val="Arial"/>
        <scheme val="minor"/>
      </rPr>
      <t>10.1002/bjs.7091</t>
    </r>
  </si>
  <si>
    <t>Randomized clinical trial of VNUS ClosureFAST radiofrequency ablation versus laser for varicose veins</t>
  </si>
  <si>
    <t>Shepherd</t>
  </si>
  <si>
    <t>R04_S021</t>
  </si>
  <si>
    <r>
      <rPr>
        <u/>
        <sz val="12"/>
        <color rgb="FF1155CC"/>
        <rFont val="Arial"/>
        <scheme val="minor"/>
      </rPr>
      <t>10.1002/bjs.6867</t>
    </r>
  </si>
  <si>
    <t>Randomized clinical trial of radiofrequency ablation or conventional high ligation and stripping for great saphenous varicose veins</t>
  </si>
  <si>
    <t>Subramonia</t>
  </si>
  <si>
    <t>R04_S022</t>
  </si>
  <si>
    <r>
      <rPr>
        <u/>
        <sz val="12"/>
        <color rgb="FF1155CC"/>
        <rFont val="Arial"/>
        <scheme val="minor"/>
      </rPr>
      <t>10.1177/0268355516658592</t>
    </r>
  </si>
  <si>
    <t>A randomized prospective long-term (&gt;1 year) clinical trial comparing the efficacy and safety of radiofrequency ablation to 980 nm laser ablation of the great saphenous vein</t>
  </si>
  <si>
    <t>Sydnor</t>
  </si>
  <si>
    <t>R04_S023</t>
  </si>
  <si>
    <r>
      <rPr>
        <u/>
        <sz val="12"/>
        <color rgb="FF1155CC"/>
        <rFont val="Arial"/>
        <scheme val="minor"/>
      </rPr>
      <t>10.1002/bjs.11158</t>
    </r>
  </si>
  <si>
    <t>Randomized clinical trial of mechanochemical and endovenous thermal ablation of great saphenous varicose veins</t>
  </si>
  <si>
    <t>Vähäaho</t>
  </si>
  <si>
    <t>R04_S024</t>
  </si>
  <si>
    <r>
      <rPr>
        <u/>
        <sz val="12"/>
        <color rgb="FF1155CC"/>
        <rFont val="Arial"/>
        <scheme val="minor"/>
      </rPr>
      <t>10.1002/bjs.10260</t>
    </r>
  </si>
  <si>
    <t>Randomized clinical trial comparing surgery, endovenous laser ablation and ultrasound-guided foam sclerotherapy for the treatment of great saphenous varicose veins</t>
  </si>
  <si>
    <t>Venermo</t>
  </si>
  <si>
    <t>R05_S001</t>
  </si>
  <si>
    <t>R05</t>
  </si>
  <si>
    <t>Lactobacillus GG for treatment of acute childhood diarrhoea: an open labelled, randomized controlled trial</t>
  </si>
  <si>
    <t>Aggarwal</t>
  </si>
  <si>
    <t>Indian Journal of Medical Research</t>
  </si>
  <si>
    <t>R05_S002</t>
  </si>
  <si>
    <t>Efficacy of Saccharomyces boulardii in acute watery diarrhoea in children</t>
  </si>
  <si>
    <t>Azim</t>
  </si>
  <si>
    <t>Journal of Rawalpindi Medical College</t>
  </si>
  <si>
    <t>R05_S003</t>
  </si>
  <si>
    <r>
      <rPr>
        <u/>
        <sz val="12"/>
        <color rgb="FF1155CC"/>
        <rFont val="Arial"/>
        <scheme val="minor"/>
      </rPr>
      <t>10.1111/j.1440-1754.2007.01201.x</t>
    </r>
  </si>
  <si>
    <t>Efficacy of Lactobacillus rhamnosus GG in acute watery diarrhoea of Indian children: a randomised controlled trial</t>
  </si>
  <si>
    <t>Basu</t>
  </si>
  <si>
    <t>Journal of Paediatrics and Child Health</t>
  </si>
  <si>
    <t>R05_S004</t>
  </si>
  <si>
    <r>
      <rPr>
        <u/>
        <sz val="12"/>
        <color rgb="FF1155CC"/>
        <rFont val="Arial"/>
        <scheme val="minor"/>
      </rPr>
      <t>10.1097/MCG.0b013e31815a5780</t>
    </r>
  </si>
  <si>
    <t>Efficacy of high-dose Lactobacillus rhamnosus GG in controlling acute watery diarrhea in Indian children: a randomized controlled trial</t>
  </si>
  <si>
    <t>Journal of Clinical Gastroenterology</t>
  </si>
  <si>
    <t>R05_S005</t>
  </si>
  <si>
    <r>
      <rPr>
        <u/>
        <sz val="10"/>
        <color rgb="FF1155CC"/>
        <rFont val="Arial"/>
      </rPr>
      <t>https://doi.org/10.18203/2349-3291.ijcp20182582</t>
    </r>
  </si>
  <si>
    <t>Efficacy of probiotics in acute diarrhoea in children</t>
  </si>
  <si>
    <t>Bhat</t>
  </si>
  <si>
    <t>International Journal of Contemporary Pediatrics</t>
  </si>
  <si>
    <t>R05_S006</t>
  </si>
  <si>
    <r>
      <rPr>
        <u/>
        <sz val="12"/>
        <color rgb="FF1155CC"/>
        <rFont val="Arial"/>
        <scheme val="minor"/>
      </rPr>
      <t>10.1016/s0022-3476(98)70398-1</t>
    </r>
  </si>
  <si>
    <t>Efficacy of milk versus yogurt offered as part of a mixed diet in acute noncholera diarrhea among malnourished children</t>
  </si>
  <si>
    <t>Bhatnagar</t>
  </si>
  <si>
    <t>R05_S007</t>
  </si>
  <si>
    <r>
      <rPr>
        <u/>
        <sz val="12"/>
        <color rgb="FF1155CC"/>
        <rFont val="Arial"/>
        <scheme val="minor"/>
      </rPr>
      <t>10.3748/wjg.v12.i28.4557</t>
    </r>
  </si>
  <si>
    <t>Role of a probiotic (Saccharomyces boulardii) in management and prevention of diarrhoea</t>
  </si>
  <si>
    <t>Billoo</t>
  </si>
  <si>
    <t>World Journal of Gastroenterology</t>
  </si>
  <si>
    <t>R05_S008</t>
  </si>
  <si>
    <r>
      <rPr>
        <u/>
        <sz val="12"/>
        <color rgb="FF1155CC"/>
        <rFont val="Arial"/>
        <scheme val="minor"/>
      </rPr>
      <t>10.1097/00005176-200109000-00015</t>
    </r>
  </si>
  <si>
    <t>Effect of feeding yogurt versus milk in children with acute diarrhea and carbohydrate malabsorption</t>
  </si>
  <si>
    <t>Boudraa</t>
  </si>
  <si>
    <t>Journal of Pediatric Gastroenterology and Nutrition</t>
  </si>
  <si>
    <t>R05_S009</t>
  </si>
  <si>
    <t>A new therapeutic alternative for the treatment of enteritis -- controlled double-blind tests with the strain SF 68 [Eine neuartige möglichkeit zur behandlung der enteritis - kontrollierte doppel-blindversuche mit dem Stamm SF 68]</t>
  </si>
  <si>
    <t>Bruno</t>
  </si>
  <si>
    <t>Schweizerische Rundschau fur Medizin Praxis</t>
  </si>
  <si>
    <t>R05_S010</t>
  </si>
  <si>
    <t>Double-blind controlled study of the effect of the lactogenic Enterococcus SF68 strain on various enterocolitis associated manifestations and on Salmonella infections [Studio controllato dopio-cieco sull'effecto dell'enterococco lattoproduttore ceppo SF 68 su manifestazione associate a forme enterocolitiche variee a salmonellosi</t>
  </si>
  <si>
    <t>La Clinica Terapeutica</t>
  </si>
  <si>
    <t>R05_S011</t>
  </si>
  <si>
    <r>
      <rPr>
        <u/>
        <sz val="12"/>
        <color rgb="FF1155CC"/>
        <rFont val="Arial"/>
        <scheme val="minor"/>
      </rPr>
      <t>10.4103/0976-500X.114603</t>
    </r>
  </si>
  <si>
    <t>Comparison of efficacy of Saccharomyces boulardii strain in the treatment of acute diarrhea in children: a prospective, single-blind, randomized controlled clinical trial</t>
  </si>
  <si>
    <t>Burande</t>
  </si>
  <si>
    <t>Journal of Pharmacology and Pharmacotherapeutics</t>
  </si>
  <si>
    <t>R05_S012</t>
  </si>
  <si>
    <t>Efficacy of Saccharomyces boullardii in children with acute diarrhoea</t>
  </si>
  <si>
    <t>Burki</t>
  </si>
  <si>
    <t>Medical Forum</t>
  </si>
  <si>
    <t>R05_S013</t>
  </si>
  <si>
    <r>
      <rPr>
        <u/>
        <sz val="12"/>
        <color rgb="FF1155CC"/>
        <rFont val="Arial"/>
        <scheme val="minor"/>
      </rPr>
      <t>10.3109/00365529609051997</t>
    </r>
  </si>
  <si>
    <t>Efficacy of SF68 in the treatment of acute diarrhea: A placebo-controlled trial</t>
  </si>
  <si>
    <t>Buydens</t>
  </si>
  <si>
    <t>Scandinavian Journal of Gastroenterology</t>
  </si>
  <si>
    <t>R05_S014</t>
  </si>
  <si>
    <r>
      <rPr>
        <u/>
        <sz val="12"/>
        <color rgb="FF1155CC"/>
        <rFont val="Arial"/>
        <scheme val="minor"/>
      </rPr>
      <t>10.1136/bmj.39272.581736.55</t>
    </r>
  </si>
  <si>
    <t>Probiotics for treatment of acute diarrhoea in children: randomised clinical trial of five different preparations</t>
  </si>
  <si>
    <t>Canani</t>
  </si>
  <si>
    <t>R05_S015</t>
  </si>
  <si>
    <t>Evaluation of Saccharomyces boulardii in children with acute diarrhea [Evaluation therapeutique de Saccharomyces boulardii chez des enfants souffrant de diarrhee aigue]</t>
  </si>
  <si>
    <t>Cetina-Sauri</t>
  </si>
  <si>
    <t>Annales de Pediatrie</t>
  </si>
  <si>
    <t>R05_S016</t>
  </si>
  <si>
    <r>
      <rPr>
        <u/>
        <sz val="12"/>
        <color rgb="FF1155CC"/>
        <rFont val="Arial"/>
        <scheme val="minor"/>
      </rPr>
      <t>10.1097/inf.0b013e3181b530bf</t>
    </r>
  </si>
  <si>
    <t>Probiotics have clinical, microbiologic, and immunologic efficacy in acute infectious diarrhea</t>
  </si>
  <si>
    <t>Chen</t>
  </si>
  <si>
    <t>Pediatric Infectious Diseases Journal</t>
  </si>
  <si>
    <t>R05_S017</t>
  </si>
  <si>
    <r>
      <rPr>
        <u/>
        <sz val="12"/>
        <color rgb="FF1155CC"/>
        <rFont val="Arial"/>
        <scheme val="minor"/>
      </rPr>
      <t>10.1097/MPG.0b013e31822b7ab0</t>
    </r>
  </si>
  <si>
    <t>Treatment of acute diarrhea with Saccharomyces boulardii in Infants</t>
  </si>
  <si>
    <t>Correa</t>
  </si>
  <si>
    <t>R05_S018</t>
  </si>
  <si>
    <r>
      <rPr>
        <u/>
        <sz val="12"/>
        <color rgb="FF1155CC"/>
        <rFont val="Arial"/>
        <scheme val="minor"/>
      </rPr>
      <t>10.1097/00005176-200301000-00021</t>
    </r>
  </si>
  <si>
    <t>Limitations of probiotic therapy in acute, severe dehydrating diarrhea</t>
  </si>
  <si>
    <t>Costa-Ribeiro</t>
  </si>
  <si>
    <t>R05_S019</t>
  </si>
  <si>
    <t>The treatment of acute diarrhoea in paediatrics using Streptococcus faecium: results of a double blind trial [Die Behandlung der akuten Diarrho in der Padiatrie mit Streptococcus faecium: Resultae einer doppleblindstudie]</t>
  </si>
  <si>
    <t>D'Apuzzo</t>
  </si>
  <si>
    <t>Therapeutische Umschau</t>
  </si>
  <si>
    <t>R05_S020</t>
  </si>
  <si>
    <r>
      <rPr>
        <u/>
        <sz val="12"/>
        <color rgb="FF1155CC"/>
        <rFont val="Arial"/>
        <scheme val="minor"/>
      </rPr>
      <t>10.1111/j.1442-200X.2011.03325.x</t>
    </r>
  </si>
  <si>
    <t>Probiotic, zinc and lactose-free formula in children with rotavirus diarrhea: are they effective?</t>
  </si>
  <si>
    <t>Dalgic</t>
  </si>
  <si>
    <t>Paediatrics International</t>
  </si>
  <si>
    <t>R05_S021</t>
  </si>
  <si>
    <r>
      <rPr>
        <u/>
        <sz val="12"/>
        <color rgb="FF1155CC"/>
        <rFont val="Arial"/>
        <scheme val="minor"/>
      </rPr>
      <t>10.1093/tropej/fmw032</t>
    </r>
  </si>
  <si>
    <t>Efficacy and safety of Saccharomyces boulardii in acute rotavirus diarrhea: double blind randomized controlled trial from a developing country</t>
  </si>
  <si>
    <t>Das</t>
  </si>
  <si>
    <t>Journal of Tropical Pediatrics</t>
  </si>
  <si>
    <t>R05_S022</t>
  </si>
  <si>
    <r>
      <rPr>
        <u/>
        <sz val="12"/>
        <color rgb="FF1155CC"/>
        <rFont val="Arial"/>
        <scheme val="minor"/>
      </rPr>
      <t>10.1111/apa.12617</t>
    </r>
  </si>
  <si>
    <t>Lactobacillus reuteri DSM 17938 effectively reduces the duration of acute diarrhoea in hospitalised children</t>
  </si>
  <si>
    <t>Dinleyici</t>
  </si>
  <si>
    <t>Acta Paediatrica</t>
  </si>
  <si>
    <t>R05_S023</t>
  </si>
  <si>
    <r>
      <rPr>
        <u/>
        <sz val="12"/>
        <color rgb="FF1155CC"/>
        <rFont val="Arial"/>
        <scheme val="minor"/>
      </rPr>
      <t>10.1016/j.jped.2014.10.009</t>
    </r>
  </si>
  <si>
    <t>Lactobacillus reuteri DSM 17938 shortens acute infectious diarrhea in a pediatric outpatient setting</t>
  </si>
  <si>
    <t>Jornal de Pediatria</t>
  </si>
  <si>
    <t>R05_S024</t>
  </si>
  <si>
    <r>
      <rPr>
        <u/>
        <sz val="12"/>
        <color rgb="FF1155CC"/>
        <rFont val="Arial"/>
        <scheme val="minor"/>
      </rPr>
      <t>10.3920/BM2014.0086</t>
    </r>
  </si>
  <si>
    <t>Saccharomyces boulardii CNCM I-745 reduces the duration of diarrhoea, length of emergency care and hospital stay in children with acute diarrhoea</t>
  </si>
  <si>
    <t>Beneficial Microbes</t>
  </si>
  <si>
    <t>R05_S025</t>
  </si>
  <si>
    <r>
      <rPr>
        <u/>
        <sz val="12"/>
        <color rgb="FF1155CC"/>
        <rFont val="Arial"/>
        <scheme val="minor"/>
      </rPr>
      <t>10.1097/MCG.0b013e31816fc2f6</t>
    </r>
  </si>
  <si>
    <t>Use of VSL#3 in the treatment of rotavirus diarrhea in children: preliminary results</t>
  </si>
  <si>
    <t>Dubey</t>
  </si>
  <si>
    <t>R05_S026</t>
  </si>
  <si>
    <r>
      <rPr>
        <u/>
        <sz val="12"/>
        <color rgb="FF1155CC"/>
        <rFont val="Arial"/>
        <scheme val="minor"/>
      </rPr>
      <t>10.1111/j.1365-3156.2011.02745.x</t>
    </r>
  </si>
  <si>
    <t>Randomised controlled clinical trial of Lactobacillus sporogenes (Bacillus coagulans), used as probiotic in clinical practice, on acute watery diarrhoea in children</t>
  </si>
  <si>
    <t>Dutta</t>
  </si>
  <si>
    <t>Tropical Medicine and International Health</t>
  </si>
  <si>
    <t>R05_S027</t>
  </si>
  <si>
    <r>
      <rPr>
        <u/>
        <sz val="10"/>
        <color rgb="FF1155CC"/>
        <rFont val="Arial"/>
      </rPr>
      <t>10.3889/oamjms.2015.088</t>
    </r>
  </si>
  <si>
    <t>Bifidobacterium lactis in treatment of children with acute diarrhea: A randomized double blind controlled trial</t>
  </si>
  <si>
    <t>El-Soud</t>
  </si>
  <si>
    <t>Open Access Macedonian Journal of Medical Sciences</t>
  </si>
  <si>
    <t>R05_S028</t>
  </si>
  <si>
    <r>
      <rPr>
        <u/>
        <sz val="12"/>
        <color rgb="FF1155CC"/>
        <rFont val="Arial"/>
        <scheme val="minor"/>
      </rPr>
      <t>10.1155/2012/787240</t>
    </r>
  </si>
  <si>
    <t>The comparison of the efficacy of two different probiotics in rotavirus gastroenteritis in children</t>
  </si>
  <si>
    <t>Erdogan</t>
  </si>
  <si>
    <t>Journal of Tropical Medicine</t>
  </si>
  <si>
    <t>R05_S029</t>
  </si>
  <si>
    <r>
      <rPr>
        <u/>
        <sz val="12"/>
        <color rgb="FF1155CC"/>
        <rFont val="Arial"/>
        <scheme val="minor"/>
      </rPr>
      <t>10.1111/j.1365-2036.2012.05180.x</t>
    </r>
  </si>
  <si>
    <t>Randomised clinical trial: Lactobacillus reuteri DSM 17938 vs. placebo in children with acute diarrhoea - a double-blind study</t>
  </si>
  <si>
    <t>Francavilla</t>
  </si>
  <si>
    <t>Alimentary Pharmacology and Therapeutics</t>
  </si>
  <si>
    <t>R05_S030</t>
  </si>
  <si>
    <r>
      <rPr>
        <u/>
        <sz val="12"/>
        <color rgb="FF1155CC"/>
        <rFont val="Arial"/>
        <scheme val="minor"/>
      </rPr>
      <t>10.1177/0009922815569200</t>
    </r>
  </si>
  <si>
    <t>Emergency department treatment of children with diarrhea who attend day care: a randomized multi dose trial of a Lactobacillus helveticus and Lactobacillus rhamnosus combination probiotic</t>
  </si>
  <si>
    <t>Freedman</t>
  </si>
  <si>
    <t>Clinical Pediatrics</t>
  </si>
  <si>
    <t>R05_S031</t>
  </si>
  <si>
    <t>10.1056/NEJMoa1802597</t>
  </si>
  <si>
    <t>Multicenter trial of a combination probiotic for children with gastroenteritis</t>
  </si>
  <si>
    <t>New England Journal of Medicine</t>
  </si>
  <si>
    <t>R05_S032</t>
  </si>
  <si>
    <r>
      <rPr>
        <u/>
        <sz val="12"/>
        <color rgb="FF1155CC"/>
        <rFont val="Arial"/>
        <scheme val="minor"/>
      </rPr>
      <t>10.1097/00005176-200001000-00018</t>
    </r>
  </si>
  <si>
    <t>Lactobacillus GG administered in oral rehydration solution to children with acute diarrhoea: a multicenter European trial</t>
  </si>
  <si>
    <t>Guandalini</t>
  </si>
  <si>
    <t>R05_S033</t>
  </si>
  <si>
    <r>
      <rPr>
        <u/>
        <sz val="12"/>
        <color rgb="FF1155CC"/>
        <rFont val="Arial"/>
        <scheme val="minor"/>
      </rPr>
      <t>10.1097/00005176-199711000-00005</t>
    </r>
  </si>
  <si>
    <t>* Oral bacterial therapy reduces the duration of symptoms and viral excretion in children with mild diarrhoea</t>
  </si>
  <si>
    <t>Guarino</t>
  </si>
  <si>
    <t>R05_S034</t>
  </si>
  <si>
    <t>https://doi.org/10.3329/cmoshmcj.v18i1.42128</t>
  </si>
  <si>
    <t>Clinical efficacy of Bacillus clausii probiotic in the management of acute diarrhoea in children</t>
  </si>
  <si>
    <t>Hamid</t>
  </si>
  <si>
    <t>Chattogram Maa-O-Shishu Hospital Medical College Journal</t>
  </si>
  <si>
    <t>R05_S035</t>
  </si>
  <si>
    <r>
      <rPr>
        <u/>
        <sz val="12"/>
        <color rgb="FF1155CC"/>
        <rFont val="Arial"/>
        <scheme val="minor"/>
      </rPr>
      <t>10.1007/s12098-014-1408-5</t>
    </r>
  </si>
  <si>
    <t>A double blind randomized trial showing probiotics to be ineffective in acute diarrhea in Indonesian children</t>
  </si>
  <si>
    <t>Hegar</t>
  </si>
  <si>
    <t>Indian Journal of Pediatrics</t>
  </si>
  <si>
    <t>R05_S036</t>
  </si>
  <si>
    <r>
      <rPr>
        <u/>
        <sz val="12"/>
        <color rgb="FF1155CC"/>
        <rFont val="Arial"/>
        <scheme val="minor"/>
      </rPr>
      <t>10.1007/s00431-007-0419-x</t>
    </r>
  </si>
  <si>
    <t>The probiotic E. coli strain Nissle 1917 (ECN) stops acute diarrhoea in infants and toddlers</t>
  </si>
  <si>
    <t>Henker</t>
  </si>
  <si>
    <t>European Journal of Paediatrics</t>
  </si>
  <si>
    <t>R05_S037</t>
  </si>
  <si>
    <r>
      <rPr>
        <u/>
        <sz val="12"/>
        <color rgb="FF1155CC"/>
        <rFont val="Arial"/>
        <scheme val="minor"/>
      </rPr>
      <t>10.1097/INF.0b013e318169034c</t>
    </r>
  </si>
  <si>
    <t>Probiotic E. coli Nissle 1917 versus placebo for treating diarrhea of greater than 4 days duration in infants and toddlers</t>
  </si>
  <si>
    <t>Pediatric Infectious Disease Journal</t>
  </si>
  <si>
    <t>R05_S038</t>
  </si>
  <si>
    <t>Clinical therapeutic effect of Saccharomyces boulardii on children with acute diarrhea</t>
  </si>
  <si>
    <t>Hernandez</t>
  </si>
  <si>
    <t>Revista de Enfermedades Infecciosas en Pediatria</t>
  </si>
  <si>
    <t>R05_S039</t>
  </si>
  <si>
    <t>Saccharomyces boulardii in the treatment of acute adult diarrhoea [Saccharomyces boulardii bei acuter Erwachsenendiarrhoea]</t>
  </si>
  <si>
    <t>Hochter</t>
  </si>
  <si>
    <t>Münchener Medizinische Wochenschrift</t>
  </si>
  <si>
    <t>R05_S040</t>
  </si>
  <si>
    <r>
      <rPr>
        <u/>
        <sz val="12"/>
        <color rgb="FF1155CC"/>
        <rFont val="Arial"/>
        <scheme val="minor"/>
      </rPr>
      <t>10.1097/INF.0000000000001712</t>
    </r>
  </si>
  <si>
    <t>A double blind, randomized, placebo-controlled trial of Lactobacillus acidophilus for the treatment of acute watery diarrhea in Vietnamese children</t>
  </si>
  <si>
    <t>Hong Chau</t>
  </si>
  <si>
    <t>R05_S041</t>
  </si>
  <si>
    <r>
      <rPr>
        <u/>
        <sz val="12"/>
        <color rgb="FF1155CC"/>
        <rFont val="Arial"/>
        <scheme val="minor"/>
      </rPr>
      <t>10.1097/MCG.0b013e31828f1c6e</t>
    </r>
  </si>
  <si>
    <t>Three-combination probiotic therapy in children with Salmonella and rotavirus gastroenteritis</t>
  </si>
  <si>
    <t>R05_S042</t>
  </si>
  <si>
    <r>
      <rPr>
        <u/>
        <sz val="12"/>
        <color rgb="FF1155CC"/>
        <rFont val="Arial"/>
        <scheme val="minor"/>
      </rPr>
      <t>10.1007/BF02087695</t>
    </r>
  </si>
  <si>
    <t>Oral bacteriotherapy for viral gastroenteritis</t>
  </si>
  <si>
    <t>Isolauri</t>
  </si>
  <si>
    <t>Digestive Diseases and Sciences</t>
  </si>
  <si>
    <t>R05_S043</t>
  </si>
  <si>
    <t>Efficacy of Lactobacillus GG in oral rehydration solution</t>
  </si>
  <si>
    <t>Jasinski</t>
  </si>
  <si>
    <t>Pediatrika</t>
  </si>
  <si>
    <t>R05_S044</t>
  </si>
  <si>
    <t>Effect of oral Saccharomyces boulardii supplementation on the duration of acute watery diarrhea in children</t>
  </si>
  <si>
    <t>Javeed</t>
  </si>
  <si>
    <t>Pakistan Journal of Medical and Health Sciences</t>
  </si>
  <si>
    <t>R05_S045</t>
  </si>
  <si>
    <t>Efficacy of Lactobacillus reuteri in acute watery diarrhea</t>
  </si>
  <si>
    <t>R05_S046</t>
  </si>
  <si>
    <t>Probiotics in the treatment of acute diarrhea in young children</t>
  </si>
  <si>
    <t>Kianifar</t>
  </si>
  <si>
    <t>Iranian Journal of Medical Sciences</t>
  </si>
  <si>
    <t>R05_S047</t>
  </si>
  <si>
    <t>Lactobif, a marketed probiotic product containing Bifidobacterium ruminantium, was not effective in the treatment of acute rotavirus diarrhoea in infants</t>
  </si>
  <si>
    <t>Kowalska-Duplaga</t>
  </si>
  <si>
    <t>Gut</t>
  </si>
  <si>
    <t>R05_S048</t>
  </si>
  <si>
    <t>Efficacy of Trilac® in the treatment of acute diarrhoea in infants and young children - a multicentre, randomised, double blind placebo-controlled study</t>
  </si>
  <si>
    <t>Pediatria Wspolczesna</t>
  </si>
  <si>
    <t>R05_S049</t>
  </si>
  <si>
    <r>
      <rPr>
        <u/>
        <sz val="12"/>
        <color rgb="FF1155CC"/>
        <rFont val="Arial"/>
        <scheme val="minor"/>
      </rPr>
      <t>10.1111/j.1651-2227.2005.tb01786.x</t>
    </r>
  </si>
  <si>
    <t>Effects of Saccharomyces boulardii in children with acute diarrhoea</t>
  </si>
  <si>
    <t>Kurugol</t>
  </si>
  <si>
    <t>R05_S050</t>
  </si>
  <si>
    <t>Oral bacterial therapy promotes recovery from acute diarrhoea in children</t>
  </si>
  <si>
    <t>Acta Paediatrica Taiwan</t>
  </si>
  <si>
    <t>R05_S051</t>
  </si>
  <si>
    <r>
      <rPr>
        <u/>
        <sz val="12"/>
        <color rgb="FF1155CC"/>
        <rFont val="Arial"/>
        <scheme val="minor"/>
      </rPr>
      <t>10.1007/s00228-018-2562-x</t>
    </r>
  </si>
  <si>
    <t>R05_S052</t>
  </si>
  <si>
    <t>Effect of a lactose-free milk formula supplemented with bifidobacteria and streptococci on the recovery from acute diarrhoea</t>
  </si>
  <si>
    <t>Mao</t>
  </si>
  <si>
    <t>Asia Pacific Journal of Clinical Nutrition</t>
  </si>
  <si>
    <t>R05_S053</t>
  </si>
  <si>
    <r>
      <rPr>
        <u/>
        <sz val="12"/>
        <color rgb="FF1155CC"/>
        <rFont val="Arial"/>
        <scheme val="minor"/>
      </rPr>
      <t>10.1007/s12098-008-0134-2</t>
    </r>
  </si>
  <si>
    <t>Randomized double blinded controlled trial to evaluate the efficacy and safety of Bifilac in patients with acute viral diarrhea</t>
  </si>
  <si>
    <t>Narayanappa</t>
  </si>
  <si>
    <t>R05_S054</t>
  </si>
  <si>
    <r>
      <rPr>
        <u/>
        <sz val="12"/>
        <color rgb="FF1155CC"/>
        <rFont val="Arial"/>
        <scheme val="minor"/>
      </rPr>
      <t>10.1097/PEC.0b013e31826cad9f</t>
    </r>
  </si>
  <si>
    <t>The effect of Lactobacillus GG (LGG) on acute diarrheal illness in the pediatric emergency department (PED)</t>
  </si>
  <si>
    <t>Nixon</t>
  </si>
  <si>
    <t>Pediatric Emergency Care</t>
  </si>
  <si>
    <t>R05_S055</t>
  </si>
  <si>
    <r>
      <rPr>
        <u/>
        <sz val="12"/>
        <color rgb="FF1155CC"/>
        <rFont val="Arial"/>
        <scheme val="minor"/>
      </rPr>
      <t>10.1177/147323000703500204</t>
    </r>
  </si>
  <si>
    <t>Effect of Saccharomyces boulardii in children with acute gastroenteritis and its relationship to the immune response</t>
  </si>
  <si>
    <t>Ozkan</t>
  </si>
  <si>
    <t>Journal of International Medical Research</t>
  </si>
  <si>
    <t>R05_S056</t>
  </si>
  <si>
    <r>
      <rPr>
        <u/>
        <sz val="12"/>
        <color rgb="FF1155CC"/>
        <rFont val="Arial"/>
        <scheme val="minor"/>
      </rPr>
      <t>10.1093/tropej/42.3.162</t>
    </r>
  </si>
  <si>
    <t>Lactobacillus GG and acute diarrhoea in young children in the tropics</t>
  </si>
  <si>
    <t>Pant</t>
  </si>
  <si>
    <t>R05_S057</t>
  </si>
  <si>
    <r>
      <rPr>
        <u/>
        <sz val="12"/>
        <color rgb="FF1155CC"/>
        <rFont val="Arial"/>
        <scheme val="minor"/>
      </rPr>
      <t>10.3390/nu9080887</t>
    </r>
  </si>
  <si>
    <t>The efficacy of Bifidobacterium longum BORI and Lactobacillus acidophilus AD031 probiotic treatment in infants with rotavirus infection</t>
  </si>
  <si>
    <t>Park</t>
  </si>
  <si>
    <t>Nutrients</t>
  </si>
  <si>
    <t>R05_S058</t>
  </si>
  <si>
    <t>Cost-benefit analysis of the probiotic treatment of children hospitalized for acute diarrhea in Bangkok, Thailand</t>
  </si>
  <si>
    <t>Phavichitr</t>
  </si>
  <si>
    <t>Southeast Asian Journal of Tropical Medicine Public Health</t>
  </si>
  <si>
    <t>R05_S059</t>
  </si>
  <si>
    <t>Lactobacillus acidophilus yogurt and supplement in children with acute diarrhea: a clinical trial</t>
  </si>
  <si>
    <t>Rafeey</t>
  </si>
  <si>
    <t>Research Journal of Medical Sciences</t>
  </si>
  <si>
    <t>R05_S060</t>
  </si>
  <si>
    <t>https://doi.org/10.1097/00006454-199502000-00005</t>
  </si>
  <si>
    <t>Lactobacillus GG promotes recovery from acute non-bloody diarrhoea in Pakistan</t>
  </si>
  <si>
    <t>Raza</t>
  </si>
  <si>
    <t>R05_S061</t>
  </si>
  <si>
    <t>https://doi.org/10.1179/146532810x12858955921159</t>
  </si>
  <si>
    <t>Lactobacillus acidophilus and Bifidobacterium bifidum stored at ambient temperature are effective in the treatment of acute diarrhoea</t>
  </si>
  <si>
    <t>Rerksuppaphol</t>
  </si>
  <si>
    <t>Annals of Tropical Paediatrics</t>
  </si>
  <si>
    <t>R05_S062</t>
  </si>
  <si>
    <t>https://doi.org/10.1007/s12098-011-0573-z</t>
  </si>
  <si>
    <t>Efficacy and safety of Saccharomyces boulardii in acute childhood diarrhea: a double blind randomised controlled trial</t>
  </si>
  <si>
    <t>Riaz</t>
  </si>
  <si>
    <t>R05_S063</t>
  </si>
  <si>
    <t>https://doi.org/10.1097/mpg.0b013e3181bbf53d</t>
  </si>
  <si>
    <t>Efficacy of Lactobacillus GG in Aboriginal children with acute diarrhoeal disease: a randomised clinical trial</t>
  </si>
  <si>
    <t>Ritchie</t>
  </si>
  <si>
    <t>R05_S064</t>
  </si>
  <si>
    <t>https://doi.org/10.1097/00006454-200205000-00012</t>
  </si>
  <si>
    <t>Effect of probiotic Lactobacillus strains in young children hospitalized with acute diarrhea</t>
  </si>
  <si>
    <t>Rosenfeldt</t>
  </si>
  <si>
    <t>R05_S065</t>
  </si>
  <si>
    <t>https://doi.org/10.1097/00006454-200205000-00013</t>
  </si>
  <si>
    <t>Effect of probiotic Lactobacillus strains on acute diarrhea in a cohort of nonhospitalized children attending day-care centers</t>
  </si>
  <si>
    <t>R05_S066</t>
  </si>
  <si>
    <t>https://doi.org/10.1542/peds.2004-2334</t>
  </si>
  <si>
    <t>Lactobacillus paracasei strain ST11 has no effect on rotavirus but ameliorates the outcome of nonrotavirus diarrhea in children from Bangladesh</t>
  </si>
  <si>
    <t>Sarkar</t>
  </si>
  <si>
    <t>R05_S067</t>
  </si>
  <si>
    <t>https://doi.org/10.1056/nejmoa1802598</t>
  </si>
  <si>
    <t>Lactobacillus rhamnosus GG versus placebo for acute gastroenteritis in children</t>
  </si>
  <si>
    <t>Schnadower</t>
  </si>
  <si>
    <t>R05_S068</t>
  </si>
  <si>
    <t>https://doi.org/10.1111/j.1651-2227.1997.tb08913.x</t>
  </si>
  <si>
    <t>A trial in the Karelian Republic of oral rehydration and Lactobacillus GG for treatment of acute diarrhoea</t>
  </si>
  <si>
    <t>Shornikova</t>
  </si>
  <si>
    <t>R05_S069</t>
  </si>
  <si>
    <t>https://doi.org/10.1097/00006454-199712000-00002</t>
  </si>
  <si>
    <t>Bacteriotherapy with Lactobacillus reuteri in rotavirus gastroenteritis</t>
  </si>
  <si>
    <t>R05_S070</t>
  </si>
  <si>
    <t>https://doi.org/10.1097/00005176-199704000-00008</t>
  </si>
  <si>
    <t>Lactobacillus reuteri as a therapeutic agent in acute diarrhea in young children</t>
  </si>
  <si>
    <t>R05_S071</t>
  </si>
  <si>
    <t>https://doi.org/10.5897/JCMR12.014</t>
  </si>
  <si>
    <t>Revealing the effect of probiotic combination Lactobacillus rhamnosus and Lactobacillus acidophilus (Lacidofil) on acute diarrhea in adult patients</t>
  </si>
  <si>
    <t>Simadibrata</t>
  </si>
  <si>
    <t>Journal of Clinical Medicine and Research</t>
  </si>
  <si>
    <t>R05_S072</t>
  </si>
  <si>
    <t>https://doi.org/10.26611/1012434</t>
  </si>
  <si>
    <t>Role of Saccharomyces boulardii in management of acute diarrhoea of children - A randomized controlled trial</t>
  </si>
  <si>
    <t>Sirsat</t>
  </si>
  <si>
    <t>MedPulse International Journal of Pediatrics</t>
  </si>
  <si>
    <t>R05_S073</t>
  </si>
  <si>
    <t>https://doi.org/10.3920/bm2018.0094</t>
  </si>
  <si>
    <t>Bacillus clausii UBBC-07 reduces severity of diarrhoea in children under 5 years of age: a double blind placebo controlled study</t>
  </si>
  <si>
    <t>Sudha</t>
  </si>
  <si>
    <t>R05_S074</t>
  </si>
  <si>
    <t>https://doi.org/10.1111/j.1365-2036.2006.02740.x</t>
  </si>
  <si>
    <t>Treatment of acute infectious diarrhoea in infants and children with a mixture of three Lactobacillus rhamnosus strains - a randomized, double-blind, placebo-controlled trial</t>
  </si>
  <si>
    <t>Szymanski</t>
  </si>
  <si>
    <t>R05_S075</t>
  </si>
  <si>
    <t>https://doi.org/10.1097/inf.0000000000002355</t>
  </si>
  <si>
    <t>Lack of efficacy of Lactobacillus reuteri DSM 17938 for the treatment of acute gastroenteritis: a randomized controlled trial</t>
  </si>
  <si>
    <t>R05_S076</t>
  </si>
  <si>
    <t>https://doi.org/10.1016/j.ijid.2008.09.014</t>
  </si>
  <si>
    <t>Nitazoxanide vs. probiotics for the treatment of acute rotavirus diarrhea in children: a randomized, single-blind, controlled trial in Bolivian children</t>
  </si>
  <si>
    <t>Teran</t>
  </si>
  <si>
    <t>International Journal of Infectious Diseases</t>
  </si>
  <si>
    <t>R05_S077</t>
  </si>
  <si>
    <t>Evaluation of the efficacy of Saccharomyces boulardii in children with acute diarrhoea</t>
  </si>
  <si>
    <t>Urganci</t>
  </si>
  <si>
    <t>Archives of Gastroenterohepatology</t>
  </si>
  <si>
    <t>R05_S078</t>
  </si>
  <si>
    <t>https://doi.org/10.18203/2349-3291.ijcp20183511</t>
  </si>
  <si>
    <t>Role of Saccharomyces boulardii and Bacillus clausii in reducing the duration of diarrhea: a three-armed randomised controlled trial</t>
  </si>
  <si>
    <t>Vidjeadevan</t>
  </si>
  <si>
    <t>R05_S079</t>
  </si>
  <si>
    <t>https://doi.org/10.1111/j.1651-2227.2007.00191.x</t>
  </si>
  <si>
    <t>Saccharomyces boulardii in acute childhood diarrhea: a randomised placebo controlled study</t>
  </si>
  <si>
    <t>Villarruel</t>
  </si>
  <si>
    <t>R05_S080</t>
  </si>
  <si>
    <t>Randomized control trial of live Lactobacillus acidophilus plus Bifidobacterium infantis in treatment of infantile acute watery diarrhea</t>
  </si>
  <si>
    <t>Vivatvakin</t>
  </si>
  <si>
    <t>R05_S081</t>
  </si>
  <si>
    <t>https://doi.org/10.1177/030006058901700405</t>
  </si>
  <si>
    <t>Double-blind report of the efficacy of lactic acid-producing Enterococcus SF68 in the prevention of antibiotic-associated diarrhoea and in the treatment of acute diarrhoea</t>
  </si>
  <si>
    <t>Wunderlich</t>
  </si>
  <si>
    <t>R05_S082</t>
  </si>
  <si>
    <t>https://doi.org/10.7499/j.issn.1008-8830.2013.11.018</t>
  </si>
  <si>
    <t>Therapeutic effect of probiotics and oral IgY as supplementary drugs in the treatment of pediatric rotavirus enteritis: a comparative study</t>
  </si>
  <si>
    <t>Xie</t>
  </si>
  <si>
    <t>Chinese Journal of Contemporary Pediatrics</t>
  </si>
  <si>
    <t>R06_S001</t>
  </si>
  <si>
    <t>R06</t>
  </si>
  <si>
    <t>https://doi.org/10.1136/bmj.294.6581.1192</t>
  </si>
  <si>
    <t>Randomized comparison of early versus late induction of labour in post-term pregnancy</t>
  </si>
  <si>
    <t>Augensen</t>
  </si>
  <si>
    <t>R06_S002</t>
  </si>
  <si>
    <t>https://doi.org/10.1016/j.ejogrb.2017.08.038</t>
  </si>
  <si>
    <t>Outcomes of mifepristone usage for cervical ripening and induction of labour in full-term pregnancy. Randomized controlled trial</t>
  </si>
  <si>
    <t>Baev</t>
  </si>
  <si>
    <t>European Journal of Obstetrics Gynecology and Reproductive Biology</t>
  </si>
  <si>
    <t>R06_S003</t>
  </si>
  <si>
    <t>https://doi.org/10.3109/00016348909006139</t>
  </si>
  <si>
    <t>Comparison of induced vs non-induced labor in post-term pregnancy</t>
  </si>
  <si>
    <t>Bergsjo</t>
  </si>
  <si>
    <t>Acta Obstetricia et Gynecologica Scandinavica</t>
  </si>
  <si>
    <t>R06_S004</t>
  </si>
  <si>
    <t>https://doi.org/10.1111/aogs.12447</t>
  </si>
  <si>
    <t>A randomized controlled trial on early induction compared to expectant management of nulliparous women with prolonged latent phases</t>
  </si>
  <si>
    <t>Brane</t>
  </si>
  <si>
    <t>R06_S005</t>
  </si>
  <si>
    <t>Comparison of two obstetrical policies with regard to artificial induction of labour at term. A randomised trial</t>
  </si>
  <si>
    <t>Breart</t>
  </si>
  <si>
    <t>Journal de Gynecologie, Obstetrique et Biologie de la Reproduction</t>
  </si>
  <si>
    <t>R06_S006</t>
  </si>
  <si>
    <t>https://doi.org/10.1016/S0020-7292(00)80498-1</t>
  </si>
  <si>
    <t>Conservative policy of induction of labor in uncomplicated postdated pregnancies</t>
  </si>
  <si>
    <t>Chakravarti</t>
  </si>
  <si>
    <t>In: XVI FIGO World Congress of Obstetrics &amp; Gynecology</t>
  </si>
  <si>
    <t>R06_S007</t>
  </si>
  <si>
    <t>https://doi.org/10.1016/s0301-2115(02)00243-9</t>
  </si>
  <si>
    <t>Postterm with favorable cervix: is induction necessary?</t>
  </si>
  <si>
    <t>Chanrachkul</t>
  </si>
  <si>
    <t>European Journal of Obstetrics &amp; Gynecology and Reproductive Biology</t>
  </si>
  <si>
    <t>R06_S008</t>
  </si>
  <si>
    <t>Post maturity; a randomised study in a Hong Kong population</t>
  </si>
  <si>
    <t>Cohn</t>
  </si>
  <si>
    <t>In: 26th British Congress of Obstetrics and Gynaecology</t>
  </si>
  <si>
    <t>R06_S009</t>
  </si>
  <si>
    <t>https://doi.org/10.1016/S0140-6736(75)92435-6</t>
  </si>
  <si>
    <t>Elective induction of labour. A randomised prospective trial</t>
  </si>
  <si>
    <t>Cole</t>
  </si>
  <si>
    <t>R06_S010</t>
  </si>
  <si>
    <t>https://doi.org/10.1016/0002-9378(87)90359-0</t>
  </si>
  <si>
    <t>Management of prolonged pregnancy: induction of labour versus antepartum testing</t>
  </si>
  <si>
    <t>Dyson</t>
  </si>
  <si>
    <t>American Journal of Obstetrics and Gynecology</t>
  </si>
  <si>
    <t>R06_S011</t>
  </si>
  <si>
    <t>https://doi.org/10.1159/000293605</t>
  </si>
  <si>
    <t>Is induction of labour indicated in prolonged pregnancy? Results of a prospective randomised trial</t>
  </si>
  <si>
    <t>Egarter</t>
  </si>
  <si>
    <t>Gynecologic and Obstetric Investigation</t>
  </si>
  <si>
    <t>R06_S012</t>
  </si>
  <si>
    <t>https://doi.org/10.1016/j.ejogrb.2004.08.013</t>
  </si>
  <si>
    <t>Induction of labor with three different techniques at 41 weeks of gestation or spontaneous follow-up until 42 weeks in women with definitely unfavorable cervical scores</t>
  </si>
  <si>
    <t>Gelisen</t>
  </si>
  <si>
    <t>R06_S013</t>
  </si>
  <si>
    <t>https://doi.org/10.1056/nejmoa1800566</t>
  </si>
  <si>
    <t>Labor induction versus expectant management in low-risk nulliparous women</t>
  </si>
  <si>
    <t>Grobman</t>
  </si>
  <si>
    <t>R06_S014</t>
  </si>
  <si>
    <t>https://doi.org/10.1056/nejm199206113262402</t>
  </si>
  <si>
    <t>Induction of labour as compared with serial antenatal monitoring in post-term pregnancy. A randomized controlled trial</t>
  </si>
  <si>
    <t>Hannah</t>
  </si>
  <si>
    <t>R06_S015</t>
  </si>
  <si>
    <t>https://doi.org/10.1097/01.aog.0000255665.77009.94</t>
  </si>
  <si>
    <t>Induction of labor or serial antenatal fetal monitoring in postterm pregnancy: a randomized controlled trial</t>
  </si>
  <si>
    <t>Heimstad</t>
  </si>
  <si>
    <t xml:space="preserve"> Obstetrics &amp; Gynecology</t>
  </si>
  <si>
    <t>R06_S016</t>
  </si>
  <si>
    <t>https://doi.org/10.1111/j.1471-0528.1969.tb06180.x</t>
  </si>
  <si>
    <t>A controlled trial of surgical induction of labour and amnioscopy in the management of prolonged pregnancy</t>
  </si>
  <si>
    <t>Henry</t>
  </si>
  <si>
    <t>Journal of Obstetrics and Gynaecology of the British Commonwealth</t>
  </si>
  <si>
    <t>R06_S017</t>
  </si>
  <si>
    <t>https://doi.org/10.1016/0020-7292(92)90325-d</t>
  </si>
  <si>
    <t>Prolonged pregnancy: the management dilemma</t>
  </si>
  <si>
    <t>Herabutya</t>
  </si>
  <si>
    <t>International Journal of Gynecology &amp; Obstetrics</t>
  </si>
  <si>
    <t>R06_S018</t>
  </si>
  <si>
    <t>Management of prolonged pregnancy: a randomized trial of induction of labour and antepartum foetal monitoring</t>
  </si>
  <si>
    <t>National Medical Journal of India</t>
  </si>
  <si>
    <t>R06_S019</t>
  </si>
  <si>
    <t>https://doi.org/10.1136/bmj.l344</t>
  </si>
  <si>
    <t>Induction of labour at 41 weeks versus expectant management until 42 weeks (INDEX): multicentre, randomised non-inferiority trial</t>
  </si>
  <si>
    <t>Keulen</t>
  </si>
  <si>
    <t>R06_S020</t>
  </si>
  <si>
    <t>https://doi.org/10.1111/j.1471-0528.1978.tb10462.x</t>
  </si>
  <si>
    <t>A randomised controlled trial of selective planned delivery</t>
  </si>
  <si>
    <t>Martin</t>
  </si>
  <si>
    <t>British Journal of Obstetrics and Gynaecology</t>
  </si>
  <si>
    <t>R06_S021</t>
  </si>
  <si>
    <t>Alternative approaches to the management of gravidas with prolonged post-term postdate pregnancies</t>
  </si>
  <si>
    <t>Journal of the Mississippi State Association</t>
  </si>
  <si>
    <t>R06_S022</t>
  </si>
  <si>
    <t>https://doi.org/10.1097/aog.0000000000001154</t>
  </si>
  <si>
    <t>Elective induction of labor compared with expectant management of nulliparous women at 39 weeks of gestation: a randomized controlled trial</t>
  </si>
  <si>
    <t>Obstetrics and Gynecology</t>
  </si>
  <si>
    <t>R06_S023</t>
  </si>
  <si>
    <t>https://doi.org/10.1016/S0002-9378(94)70269-1</t>
  </si>
  <si>
    <t>A clinical trial of induction of labor versus expectant management in postterm pregnancy</t>
  </si>
  <si>
    <t>National Institute of Child Health and Human Development Network</t>
  </si>
  <si>
    <t>R06_S024</t>
  </si>
  <si>
    <t>https://doi.org/10.1080/14767050500139604</t>
  </si>
  <si>
    <t>Comparison of elective induction of labor with favorable Bishop scores versus expectant management: a randomized clinical trial</t>
  </si>
  <si>
    <t>Nielsen</t>
  </si>
  <si>
    <t>Journal of Maternal-Fetal &amp; Neonatal Medicine</t>
  </si>
  <si>
    <t>R06_S025</t>
  </si>
  <si>
    <t>Prolonged pregnancy: procedure guidelines [Gestacion prolongada: pautas de actuacion]</t>
  </si>
  <si>
    <t>Ocon</t>
  </si>
  <si>
    <t>Progresos de Obstetricia y Ginecologia</t>
  </si>
  <si>
    <t>R06_S026</t>
  </si>
  <si>
    <t>https://doi.org/10.1016/s0020-7292(97)00179-3</t>
  </si>
  <si>
    <t>Pregnancy outcome beyond 41 weeks gestation</t>
  </si>
  <si>
    <t>Roach</t>
  </si>
  <si>
    <t>R06_S027</t>
  </si>
  <si>
    <t>https://doi.org/10.1016/s0368-2315(05)82853-4</t>
  </si>
  <si>
    <t>Management of pregnancies beyond forty-one week's gestation with an unfavorable cervix [Prise en charge obstetricale des grossesses prolongees au-dela de 41 semaines d'amenorrhee avec un score de Bishop defavorable]</t>
  </si>
  <si>
    <t>Sahraoui</t>
  </si>
  <si>
    <t>R06_S028</t>
  </si>
  <si>
    <t>https://doi.org/10.1016/0020-7292(83)90025-5</t>
  </si>
  <si>
    <t>A prospective randomized study of induction of labor</t>
  </si>
  <si>
    <t>Sande</t>
  </si>
  <si>
    <t>R06_S029</t>
  </si>
  <si>
    <t>https://doi.org/10.1186/s12884-019-2602-2</t>
  </si>
  <si>
    <t>Induction of labor compared to expectant management of term nulliparas with a latent phase of labor of more than 8 hours: a randomized trial</t>
  </si>
  <si>
    <t>Sargunam</t>
  </si>
  <si>
    <t>BMC Pregnancy and Childbirth</t>
  </si>
  <si>
    <t>R06_S030</t>
  </si>
  <si>
    <t>Prolonged pregnancy: induction or observation</t>
  </si>
  <si>
    <t>Suikkari</t>
  </si>
  <si>
    <t>Acta Obstetricia et Gynecologica Scandinavica Supplement</t>
  </si>
  <si>
    <t>R06_S031</t>
  </si>
  <si>
    <t>https://doi.org/10.3109/00016347909154610</t>
  </si>
  <si>
    <t>Spontaneous labor and elective induction - a prospective randomized study. Effects on mother and fetus</t>
  </si>
  <si>
    <t>Tylleskar</t>
  </si>
  <si>
    <t>R06_S032</t>
  </si>
  <si>
    <t>https://doi.org/10.1056/nejmoa1509117</t>
  </si>
  <si>
    <t>Randomized trial of labor induction in women 35 years of age or older</t>
  </si>
  <si>
    <t>Walker</t>
  </si>
  <si>
    <t>R06_S033</t>
  </si>
  <si>
    <t>https://doi.org/10.1136/bmj.l6131</t>
  </si>
  <si>
    <t>Induction of labour at 41 weeks versus expectant management and induction of labour at 42 weeks (SWEdish Post-term Induction Study, SWEPIS): multicentre, open label, randomised, superiority trial</t>
  </si>
  <si>
    <t>Wennerholm</t>
  </si>
  <si>
    <t>R06_S034</t>
  </si>
  <si>
    <t>https://doi.org/10.1055/s-2007-999774</t>
  </si>
  <si>
    <t>A randomised trial of induction at 42 weeks of gestation vs expectant management for postdates pregnancies</t>
  </si>
  <si>
    <t>Witter</t>
  </si>
  <si>
    <t>American Journal of Perinatology</t>
  </si>
  <si>
    <t>R07_S001</t>
  </si>
  <si>
    <t>R07</t>
  </si>
  <si>
    <t>https://doi.org/10.5688/ajpe81470</t>
  </si>
  <si>
    <t>Comparison of pharmaceutical calculations learning outcomes achieved within a traditional lecture or flipped classroom andragogy</t>
  </si>
  <si>
    <t>Anderson</t>
  </si>
  <si>
    <t>American Journal of Pharmaceutical Education</t>
  </si>
  <si>
    <t>R07_S002</t>
  </si>
  <si>
    <t>A comparative study of outcome of flipped class room assisted lecture classes and traditional lecture classes among first MBBS students...</t>
  </si>
  <si>
    <t>Chaudhuri</t>
  </si>
  <si>
    <t>International Journal of Research and Review</t>
  </si>
  <si>
    <t>R07_S003</t>
  </si>
  <si>
    <t>https://doi.org/10.1002/ase.1664</t>
  </si>
  <si>
    <t>The "flipped classroom" approach: stimulating positive learning attitudes and improving mastery of histology among medical students</t>
  </si>
  <si>
    <t>Anatomical Sciences Education</t>
  </si>
  <si>
    <t>R07_S004</t>
  </si>
  <si>
    <t>https://doi.org/10.1016/j.jsurg.2017.07.007</t>
  </si>
  <si>
    <t>The effectiveness of a simulation-based flipped classroom in the acquisition of laparoscopic suturing skills in medical students-A pilot study</t>
  </si>
  <si>
    <t>Chiu</t>
  </si>
  <si>
    <t>Journal of Surgical Education</t>
  </si>
  <si>
    <t>R07_S005</t>
  </si>
  <si>
    <t>https://doi.org/10.4103/jehp.jehp_163_19</t>
  </si>
  <si>
    <t>Effectiveness of flipped classroom as a teaching-learning method among undergraduate medical students-An interventional study</t>
  </si>
  <si>
    <t>Angadi</t>
  </si>
  <si>
    <t>Journal of Education and Health Promotion</t>
  </si>
  <si>
    <t>R07_S006</t>
  </si>
  <si>
    <t>https://doi.org/10.1371/journal.pone.0210606</t>
  </si>
  <si>
    <t>The effects of the flipped classroom in teaching evidence based nursing: A quasi-experimental study</t>
  </si>
  <si>
    <t>Chu</t>
  </si>
  <si>
    <t>PLoS ONE</t>
  </si>
  <si>
    <t>R07_S007</t>
  </si>
  <si>
    <t>https://doi.org/10.1016/j.soscij.2019.09.002</t>
  </si>
  <si>
    <t>Using traditional or flipped classrooms to teach "vascular access skill": A pilot study...</t>
  </si>
  <si>
    <t>Baris</t>
  </si>
  <si>
    <t>Social Science Journal</t>
  </si>
  <si>
    <t>R07_S008</t>
  </si>
  <si>
    <t>https://doi.org/10.1016/j.cptl.2016.06.011</t>
  </si>
  <si>
    <t>Effectiveness of flipped classroom instructional model in teaching pharmaceutical calculations</t>
  </si>
  <si>
    <t>Cotta</t>
  </si>
  <si>
    <t>Currents in Pharmacy Teaching and Learning</t>
  </si>
  <si>
    <t>R07_S009</t>
  </si>
  <si>
    <t>https://doi.org/10.5688/ajpe80231</t>
  </si>
  <si>
    <t>Student performance in a pharmacotherapy oncology module before and after flipping the classroom</t>
  </si>
  <si>
    <t>Bossaer</t>
  </si>
  <si>
    <t>R07_S010</t>
  </si>
  <si>
    <t>https://doi.org/10.1016/j.nedt.2018.09.027</t>
  </si>
  <si>
    <t>Comparing the effects of traditional lecture and flipped classroom on nursing students' critical thinking disposition: A quasi-experimental study</t>
  </si>
  <si>
    <t>Dehghanzadeh</t>
  </si>
  <si>
    <t>Medical Teacher</t>
  </si>
  <si>
    <t>R07_S011</t>
  </si>
  <si>
    <t>https://doi.org/10.3352/jeehp.2016.13.11</t>
  </si>
  <si>
    <t>Flipping the advanced cardiac life support classroom with team-based learning...</t>
  </si>
  <si>
    <t>Boysen-Osborn</t>
  </si>
  <si>
    <t>Journal of Educational Evaluation for Health Professions</t>
  </si>
  <si>
    <t>R07_S012</t>
  </si>
  <si>
    <t>The flipped classroom improves learning of hepatology in undergraduate medical education</t>
  </si>
  <si>
    <t>Burak</t>
  </si>
  <si>
    <t>Journal of Gastroenterology and Hepatology</t>
  </si>
  <si>
    <t>R07_S013</t>
  </si>
  <si>
    <t>10.5455/njppp.2019.9.0310829032019</t>
  </si>
  <si>
    <t>A comparative study of flip classroom teaching method versus traditional classroom teaching method in undergraduate medical students in physiology</t>
  </si>
  <si>
    <t>Dodiya</t>
  </si>
  <si>
    <t>National Journal of Physiology, Pharmacy and Pharmacology</t>
  </si>
  <si>
    <t>R07_S014</t>
  </si>
  <si>
    <t>https://doi.org/10.1097/acm.0000000000001085</t>
  </si>
  <si>
    <t>An innovative blended preclinical curriculum in clinical epidemiology and bio-statistics: impact on student satisfaction and performance</t>
  </si>
  <si>
    <t>Evans</t>
  </si>
  <si>
    <t>Academic Medicine</t>
  </si>
  <si>
    <t>R07_S015</t>
  </si>
  <si>
    <t>https://doi.org/10.1186/s12909-020-02240-z</t>
  </si>
  <si>
    <t>Learning outcomes of a flipped classroom teaching approach in an adult-health nursing course: A quasi-experimental study</t>
  </si>
  <si>
    <t>Fan</t>
  </si>
  <si>
    <t>R07_S016</t>
  </si>
  <si>
    <t>Using the flipped classroom to bridge the gap to generation Y</t>
  </si>
  <si>
    <t>Gillispie</t>
  </si>
  <si>
    <t>Ochsner Journal</t>
  </si>
  <si>
    <t>R07_S017</t>
  </si>
  <si>
    <t>https://doi.org/10.3205/zma001108</t>
  </si>
  <si>
    <t>Concept and benefits of the inverted classroom method for a competency-based biochemistry course in the pre-clinical stage...</t>
  </si>
  <si>
    <t>Kuhl</t>
  </si>
  <si>
    <t>GMS Journal for Medical Education</t>
  </si>
  <si>
    <t>R07_S018</t>
  </si>
  <si>
    <t>https://doi.org/10.1016/j.nepr.2021.103046</t>
  </si>
  <si>
    <t>A blended learning teaching strategy strengthens the nursing students' performance and self-reported learning outcome achievement...</t>
  </si>
  <si>
    <t>Grønlien</t>
  </si>
  <si>
    <t>Nurse Education in Practice</t>
  </si>
  <si>
    <t>R07_S019</t>
  </si>
  <si>
    <t>https://doi.org/10.5480/13-1255</t>
  </si>
  <si>
    <t>Quantitative outcomes for nursing students in a flipped classroom</t>
  </si>
  <si>
    <t>Harrington</t>
  </si>
  <si>
    <t>Nursing Education Perspectives</t>
  </si>
  <si>
    <t>R07_S020</t>
  </si>
  <si>
    <t>https://doi.org/10.1371/journal.pone.0174829</t>
  </si>
  <si>
    <t>Facing the challenges in ophthalmology clerkship teaching: Is flipped classroom the answer?</t>
  </si>
  <si>
    <t>Lin</t>
  </si>
  <si>
    <t>R07_S021</t>
  </si>
  <si>
    <t>https://doi.org/10.1080/0142159x.2018.1426837</t>
  </si>
  <si>
    <t>Using traditional or flipped classrooms to teach "geriatrics and gerontology"? Investigating the impact of active learning...</t>
  </si>
  <si>
    <t>Lucchetti</t>
  </si>
  <si>
    <t>R07_S022</t>
  </si>
  <si>
    <t>https://doi.org/10.5811/westjem.2015.9.27256</t>
  </si>
  <si>
    <t>Does the concept of the "flipped classroom" extend to the emergency Medicine clinical clerkship?</t>
  </si>
  <si>
    <t>Heitz</t>
  </si>
  <si>
    <t>Western Journal of Emergency Medicine</t>
  </si>
  <si>
    <t>R07_S023</t>
  </si>
  <si>
    <t>https://doi.org/10.3928/01484834-20130919-03</t>
  </si>
  <si>
    <t>Flipping the classroom to improve student performance and satisfaction</t>
  </si>
  <si>
    <t>Missildine</t>
  </si>
  <si>
    <t>Journal of Nursing Education</t>
  </si>
  <si>
    <t>R07_S024</t>
  </si>
  <si>
    <t>https://doi.org/10.1152/advan.00153.2019</t>
  </si>
  <si>
    <t>Flipped classroom improves results in pathophysiology learning: Results of a nonrandomized controlled study</t>
  </si>
  <si>
    <t>Herrero</t>
  </si>
  <si>
    <t>Advances in Physiology Education</t>
  </si>
  <si>
    <t>R07_S025</t>
  </si>
  <si>
    <t>https://doi.org/10.1002/ase.1635</t>
  </si>
  <si>
    <t>Measuring the impact of the flipped anatomy classroom: The importance of categorizing an assessment by Bloom's taxonomy</t>
  </si>
  <si>
    <t>Morton</t>
  </si>
  <si>
    <t>R07_S026</t>
  </si>
  <si>
    <t>https://doi.org/10.1186/s12909-019-1714-8</t>
  </si>
  <si>
    <t>Implementation of flipped classroom combined with problem-based learning: An approach to promote learning about hyperthyroidism...</t>
  </si>
  <si>
    <t>Hu</t>
  </si>
  <si>
    <t>R07_S027</t>
  </si>
  <si>
    <t>https://doi.org/10.1016/j.acra.2016.02.011</t>
  </si>
  <si>
    <t>Flipping radiology education right side up</t>
  </si>
  <si>
    <t>O'Connor</t>
  </si>
  <si>
    <t>Academic Radiology</t>
  </si>
  <si>
    <t>R07_S028</t>
  </si>
  <si>
    <t>https://doi.org/10.1186/s12909-020-1946-7</t>
  </si>
  <si>
    <t>Effects of a quasi-experimental study of using flipped classroom approach to teach evidence-based Medicine...</t>
  </si>
  <si>
    <t>R07_S029</t>
  </si>
  <si>
    <t>https://doi.org/10.1111/jjns.12176</t>
  </si>
  <si>
    <t>Quasi-experimental study on the effectiveness of a flipped classroom for teaching adult health nursing</t>
  </si>
  <si>
    <t>Japan Academy of Nursing Science</t>
  </si>
  <si>
    <t>R07_S030</t>
  </si>
  <si>
    <t>https://doi.org/10.1111/eje.12467</t>
  </si>
  <si>
    <t>Teaching orthodontic emergencies using the "flipped classroom" method of teaching-A mixed methods RCT</t>
  </si>
  <si>
    <t>Isherwood</t>
  </si>
  <si>
    <t>European Journal of Dental Education</t>
  </si>
  <si>
    <t>R07_S031</t>
  </si>
  <si>
    <t>https://doi.org/10.21203/rs.3.rs-18325/v1</t>
  </si>
  <si>
    <t>Flipped classroom is an approach of basic medical education for undergraduate students</t>
  </si>
  <si>
    <t>Ren</t>
  </si>
  <si>
    <t>Research Square (preprint)</t>
  </si>
  <si>
    <t>R07_S032</t>
  </si>
  <si>
    <t>https://doi.org/10.1002/ase.1544</t>
  </si>
  <si>
    <t>Student perceptions of independent versus facilitated small group learning approaches to compressed medical anatomy education</t>
  </si>
  <si>
    <t>Whelan</t>
  </si>
  <si>
    <t>R07_S033</t>
  </si>
  <si>
    <t>https://doi.org/10.1186/s12909-017-0881-8</t>
  </si>
  <si>
    <t>Friend or foe? flipped classroom for undergraduate electro-cardiogram learning: A randomized controlled study</t>
  </si>
  <si>
    <t>Rui</t>
  </si>
  <si>
    <t>R07_S034</t>
  </si>
  <si>
    <t>https://doi.org/10.7899/JCE-14-28</t>
  </si>
  <si>
    <t>No differences in grades or level of satisfaction in a flipped classroom for neuro-anatomy</t>
  </si>
  <si>
    <t>Whillier</t>
  </si>
  <si>
    <t>Journal of Chiropractic Education</t>
  </si>
  <si>
    <t>R07_S035</t>
  </si>
  <si>
    <t>https://doi.org/10.7759/cureus.11408</t>
  </si>
  <si>
    <t>Comparative analysis of effectiveness between flipped classroom and Lecture-Based classroom in undergraduate medical education...</t>
  </si>
  <si>
    <t>Sajid</t>
  </si>
  <si>
    <t>Cureus</t>
  </si>
  <si>
    <t>R07_S036</t>
  </si>
  <si>
    <r>
      <rPr>
        <u/>
        <sz val="10"/>
        <color rgb="FF1155CC"/>
        <rFont val="Arial"/>
      </rPr>
      <t>https://doi.org/10.1016/j.cptl.2016.06.008</t>
    </r>
  </si>
  <si>
    <t>Impact of team-based learning on perceived and actual retention of over-the counter pharmacotherapy</t>
  </si>
  <si>
    <t>Wilson</t>
  </si>
  <si>
    <t>R07_S037</t>
  </si>
  <si>
    <t>Flipped pedagogy versus traditional lecture: Examining clinical reasoning in associate degree nursing education</t>
  </si>
  <si>
    <t>Sinclair-Bennett</t>
  </si>
  <si>
    <t>PhD dissertation at Capella University</t>
  </si>
  <si>
    <t>R07_S038</t>
  </si>
  <si>
    <t>https://doi.org/10.5688/ajpe7810185</t>
  </si>
  <si>
    <t>Pharmacy students' performance and perceptions in a flipped teaching pilot on cardiac arrhythmias</t>
  </si>
  <si>
    <t>Wong</t>
  </si>
  <si>
    <t>R07_S039</t>
  </si>
  <si>
    <r>
      <rPr>
        <u/>
        <sz val="10"/>
        <color rgb="FF1155CC"/>
        <rFont val="Arial"/>
      </rPr>
      <t>https://doi.org/10.1016/j.cptl.2013.07.004</t>
    </r>
  </si>
  <si>
    <t>An analysis of student performance with podcasting and active learning in a pharmacotherapy module</t>
  </si>
  <si>
    <t>Stewart</t>
  </si>
  <si>
    <t>R07_S040</t>
  </si>
  <si>
    <t>https://doi.org/10.1017/dmp.2020.162</t>
  </si>
  <si>
    <t>Flipped classroom approach used in the training of mass casualty triage for medical undergraduate students</t>
  </si>
  <si>
    <t>Zheng</t>
  </si>
  <si>
    <t>Disaster Medicine and Public Health Preparedness</t>
  </si>
  <si>
    <t>R07_S041</t>
  </si>
  <si>
    <t>https://doi.org/10.1007/s40670-014-0092-4</t>
  </si>
  <si>
    <t>The flipped classroom improved medical student performance and satisfaction in a pre-clinical physiology course</t>
  </si>
  <si>
    <t>Street</t>
  </si>
  <si>
    <t>Medical Science Educator</t>
  </si>
  <si>
    <t>R07_S042</t>
  </si>
  <si>
    <r>
      <rPr>
        <u/>
        <sz val="10"/>
        <color rgb="FF1155CC"/>
        <rFont val="Arial"/>
      </rPr>
      <t>https://doi.org/10.1016/j.cptl.2014.02.017</t>
    </r>
  </si>
  <si>
    <t>Student perception and academic performance after implementation blended learning approach to a drug information and literature evaluation course</t>
  </si>
  <si>
    <t>Suda</t>
  </si>
  <si>
    <t>R07_S043</t>
  </si>
  <si>
    <r>
      <rPr>
        <u/>
        <sz val="10"/>
        <color rgb="FF1155CC"/>
        <rFont val="Arial"/>
      </rPr>
      <t>https://doi.org/10.1016/j.nedt.2019.104262</t>
    </r>
  </si>
  <si>
    <t>Use of a flipped classroom in ophthalmology courses for nursing, dental and medical students: A quasi-experimental study...</t>
  </si>
  <si>
    <t>Zhu</t>
  </si>
  <si>
    <t>Nurse Education Today</t>
  </si>
  <si>
    <t>R07_S044</t>
  </si>
  <si>
    <t>https://doi.org/10.1080/10872981.2017.1395679</t>
  </si>
  <si>
    <t>Comparison between flipped class room andlecture‐based class room in ophthalmology clerkship</t>
  </si>
  <si>
    <t>Tang</t>
  </si>
  <si>
    <t>Medical Education Online</t>
  </si>
  <si>
    <t>R07_S045</t>
  </si>
  <si>
    <t>https://doi.org/10.1371/journal.pone.0257208</t>
  </si>
  <si>
    <t>Multilevel factor analysis of flipped classroom in dental education: A 3-year randomized controlled trial</t>
  </si>
  <si>
    <t>Wang</t>
  </si>
  <si>
    <t>R08_S001</t>
  </si>
  <si>
    <t>R08</t>
  </si>
  <si>
    <t>http://dx.doi.org/10.34917/2269015</t>
  </si>
  <si>
    <t>Effects of classwide self-management intervention on second grade students' social skills in physical education</t>
  </si>
  <si>
    <t>Aljadeff-Abergel</t>
  </si>
  <si>
    <t>University of Nevada-Las Vegas</t>
  </si>
  <si>
    <t>R08_S002</t>
  </si>
  <si>
    <t>The use of self-management strategies in the treatment of children with emotional and behavioral disorders</t>
  </si>
  <si>
    <t>Baker</t>
  </si>
  <si>
    <t>University of North Texas</t>
  </si>
  <si>
    <t>R08_S003</t>
  </si>
  <si>
    <t>https://doi.org/10.1177/10983007030050040701</t>
  </si>
  <si>
    <t>A practical application of self-management for students diagnosed with attention-deficit/hyperactivity disorder</t>
  </si>
  <si>
    <t>Barry</t>
  </si>
  <si>
    <t>Journal of Positive Behavior Interventions</t>
  </si>
  <si>
    <t>R08_S004</t>
  </si>
  <si>
    <t>https://doi.org/10.1353/etc.2019.0011</t>
  </si>
  <si>
    <t>Improving behavioral and academic outcomes for students with autism spectrum disorder: Testing an app-based self-monitoring intervention</t>
  </si>
  <si>
    <t>Beckman</t>
  </si>
  <si>
    <t>Education and Treatment of Children</t>
  </si>
  <si>
    <t>R08_S005</t>
  </si>
  <si>
    <r>
      <rPr>
        <u/>
        <sz val="10"/>
        <color rgb="FF1155CC"/>
        <rFont val="Arial"/>
      </rPr>
      <t>https://doi.org/10.1177/183693911003500406</t>
    </r>
  </si>
  <si>
    <t>Effects of self-monitoring on the classroom preparedness skills of kindergarten students at-risk for developmental disabilities</t>
  </si>
  <si>
    <t>Bialas</t>
  </si>
  <si>
    <t>Australasian Journal of Early Childhood</t>
  </si>
  <si>
    <t>R08_S006</t>
  </si>
  <si>
    <r>
      <rPr>
        <u/>
        <sz val="10"/>
        <color rgb="FF1155CC"/>
        <rFont val="Arial"/>
      </rPr>
      <t>https://doi.org/10.1177/875687051303200205</t>
    </r>
  </si>
  <si>
    <t>Self-monitoring of on-task behaviors using the MotivAider® by a middle school student with a moderate intellectual disability</t>
  </si>
  <si>
    <t>Boswell</t>
  </si>
  <si>
    <t>Rural Special Education Quarterly</t>
  </si>
  <si>
    <t>R08_S007</t>
  </si>
  <si>
    <t>https://doi.org/10.1002/pits.21679</t>
  </si>
  <si>
    <t>Using self-management interventions To address general education behavioral needs: Assessment of effectiveness and feasibility</t>
  </si>
  <si>
    <t>Briesch</t>
  </si>
  <si>
    <t>Psychology in the Schools</t>
  </si>
  <si>
    <t>R08_S008</t>
  </si>
  <si>
    <t>https://doi.org/10.1177/0162643416650024</t>
  </si>
  <si>
    <t>Using data to individualize a multicomponent, technology-based self-monitoring intervention</t>
  </si>
  <si>
    <t>Bruhn</t>
  </si>
  <si>
    <t>Journal of Special Education Technology</t>
  </si>
  <si>
    <t>R08_S009</t>
  </si>
  <si>
    <t>https://doi.org/10.1177/0162643415618911</t>
  </si>
  <si>
    <t>"I don't like being good!" Changing behavior with technology-based self-monitoring</t>
  </si>
  <si>
    <t>R08_S010</t>
  </si>
  <si>
    <t>https://doi.org/10.1177/019874291203800102</t>
  </si>
  <si>
    <t>Improving behavior by using multicomponent self-monitoring within a targeted reading intervention</t>
  </si>
  <si>
    <t>Behavioral Disorders</t>
  </si>
  <si>
    <t>R08_S011</t>
  </si>
  <si>
    <t>https://doi.org/10.1002/pits.22109</t>
  </si>
  <si>
    <t>Self-management as a class-wide intervention: An evaluation of the "Self &amp; Match" system embedded within a dependent group contingency</t>
  </si>
  <si>
    <t>Bulla</t>
  </si>
  <si>
    <t>R08_S012</t>
  </si>
  <si>
    <t>The effects of a self-management procedure on the on-task behavior, academic productivity, and academic accuracy...</t>
  </si>
  <si>
    <t>Caldwell</t>
  </si>
  <si>
    <t>Ohio State University</t>
  </si>
  <si>
    <t>R08_S013</t>
  </si>
  <si>
    <t>https://doi.org/10.1177/019874290302900102</t>
  </si>
  <si>
    <t>Effects of self-talk on academic engagement and academic responding</t>
  </si>
  <si>
    <t>Callicott</t>
  </si>
  <si>
    <t>R08_S014</t>
  </si>
  <si>
    <t>https://doi.org/10.1353/etc.2007.0022</t>
  </si>
  <si>
    <t>Behavioral intervention planning: Increasing appropriate behavior of a socially withdrawn student</t>
  </si>
  <si>
    <t>Christensen</t>
  </si>
  <si>
    <t>R08_S015</t>
  </si>
  <si>
    <r>
      <rPr>
        <u/>
        <sz val="10"/>
        <color rgb="FF1155CC"/>
        <rFont val="Arial"/>
      </rPr>
      <t>https://doi.org/10.1177/215416471004500112</t>
    </r>
  </si>
  <si>
    <t>Use of self-modeling static-picture prompts via a handheld computer to facilitate self-monitoring in the general education classroom</t>
  </si>
  <si>
    <t>Cihak</t>
  </si>
  <si>
    <t>Education and Training in Autism and Developmental Disabilities</t>
  </si>
  <si>
    <t>R08_S016</t>
  </si>
  <si>
    <t>https://doi.org/10.1177/1098300715596134</t>
  </si>
  <si>
    <t>Self-monitoring for high school students with disabilities: A cross-categorical investigation of I-Connect</t>
  </si>
  <si>
    <t>Clemons</t>
  </si>
  <si>
    <t>R08_S017</t>
  </si>
  <si>
    <t>Self-monitoring, peer feedback, and randomization of both reinforcers and criteria for reinforcement</t>
  </si>
  <si>
    <t>Coogan</t>
  </si>
  <si>
    <t>University of Connecticut</t>
  </si>
  <si>
    <t>R08_S018</t>
  </si>
  <si>
    <t>https://doi.org/10.1080/09362835.2020.1772064</t>
  </si>
  <si>
    <t>High-school students with high-incidence disabilities' use of smartphones for self-monitoring</t>
  </si>
  <si>
    <t>Cook</t>
  </si>
  <si>
    <t>Exceptionality</t>
  </si>
  <si>
    <t>R08_S019</t>
  </si>
  <si>
    <t>https://doi.org/10.1177/215416471204700204</t>
  </si>
  <si>
    <t>Effects of a self-monitoring strategy on independent work behavior of students with mild intellectual disability</t>
  </si>
  <si>
    <t>Coughlin</t>
  </si>
  <si>
    <t>R08_S020</t>
  </si>
  <si>
    <t>Effects of self-monitoring on classroom preparedness skills of middle school students with attention deficit hyperactivity disorder</t>
  </si>
  <si>
    <t>Creel</t>
  </si>
  <si>
    <t>Learning Disabilities: A Multidisciplinary Journal</t>
  </si>
  <si>
    <t>R08_S021</t>
  </si>
  <si>
    <t>https://doi.org/10.1007/s10803-014-2272-x</t>
  </si>
  <si>
    <t>Use of a self-monitoring application to reduce stereotypic behavior in adolescents with autism: A preliminary investigation of I-Connect</t>
  </si>
  <si>
    <t>Crutchfield</t>
  </si>
  <si>
    <t>Journal of Autism and Developmental Disorders</t>
  </si>
  <si>
    <t>R08_S022</t>
  </si>
  <si>
    <t>https://doi.org/10.1023/a:1022183430622</t>
  </si>
  <si>
    <t>The effects of a self-management program in reducing off-task behavior</t>
  </si>
  <si>
    <t>Dalton</t>
  </si>
  <si>
    <t>Journal of Behavioral Education</t>
  </si>
  <si>
    <t>R08_S023</t>
  </si>
  <si>
    <t>https://doi.org/10.1002/(SICI)1520-6807(200003)37:2%3C135::AID-PITS5%3E3.0.CO;2-U</t>
  </si>
  <si>
    <t>Self-management and peer-monitoring within a group contingency to decrease uncontrolled verbalizations of children with attention-deficit/hyperactivity disorder</t>
  </si>
  <si>
    <t>Davies</t>
  </si>
  <si>
    <t>R08_S024</t>
  </si>
  <si>
    <t>A comparison of self-monitoring with and without reinforcement to improve on-task classroom behavior</t>
  </si>
  <si>
    <t>Davis</t>
  </si>
  <si>
    <t>Journal of School Counseling</t>
  </si>
  <si>
    <t>R08_S025</t>
  </si>
  <si>
    <r>
      <rPr>
        <u/>
        <sz val="10"/>
        <color rgb="FF1155CC"/>
        <rFont val="&quot;Open Sans&quot;, sans-serif"/>
      </rPr>
      <t>https://doi.org/10.1177/10634266211051404</t>
    </r>
  </si>
  <si>
    <t>Behavioral self-regulation: A comparison of goal reminders and self-monitoring</t>
  </si>
  <si>
    <t>Estrapala</t>
  </si>
  <si>
    <t>University of Iowa</t>
  </si>
  <si>
    <t>R08_S026</t>
  </si>
  <si>
    <t>The effects of self-monitoring on the mathematics performance of students at-risk for emotional and behavioral disorders</t>
  </si>
  <si>
    <t>Fairfield</t>
  </si>
  <si>
    <t>Texas A&amp;M University</t>
  </si>
  <si>
    <t>R08_S027</t>
  </si>
  <si>
    <t>The effects of self-monitoring on the academic performance and on-task behavior of children with head injuries</t>
  </si>
  <si>
    <t>Fessler</t>
  </si>
  <si>
    <t>Johns Hopkins University</t>
  </si>
  <si>
    <t>R08_S028</t>
  </si>
  <si>
    <t>https://doi.org/10.1177/0145445503259387</t>
  </si>
  <si>
    <t>The effects of self-management in general education classrooms on the organizational skills of adolescents with ADHD</t>
  </si>
  <si>
    <t>Gureasko-Moore</t>
  </si>
  <si>
    <t>Behavior Modification</t>
  </si>
  <si>
    <t>R08_S029</t>
  </si>
  <si>
    <t>https://doi.org/10.1080/02796015.2007.12087923</t>
  </si>
  <si>
    <t>Self-management of classroom preparedness and homework: Effects on school functioning of adolescents with attention deficit hyperactivity disorder</t>
  </si>
  <si>
    <t>School Psychology Review</t>
  </si>
  <si>
    <t>R08_S030</t>
  </si>
  <si>
    <t>https://doi.org/10.1177/1063426613476345</t>
  </si>
  <si>
    <t>The effects of function-based self-management interventions on student behavior</t>
  </si>
  <si>
    <t>Hansen</t>
  </si>
  <si>
    <t>Journal of Emotional and Behavioral Disorders</t>
  </si>
  <si>
    <t>R08_S031</t>
  </si>
  <si>
    <t>https://doi.org/10.2307/1511182</t>
  </si>
  <si>
    <t>Self-monitoring of attention versus self-monitoring of performance: Replication and cross-task comparison studies</t>
  </si>
  <si>
    <t>Harris</t>
  </si>
  <si>
    <t>Learning Disability Quarterly</t>
  </si>
  <si>
    <t>R08_S032</t>
  </si>
  <si>
    <t>https://doi.org/10.1177/00224669050390030201</t>
  </si>
  <si>
    <t>Self-monitoring of attention versus self-monitoring of academic performance: Effects among students with ADHD in the general education classroom</t>
  </si>
  <si>
    <t>The Journal of Special Education</t>
  </si>
  <si>
    <t>R08_S033</t>
  </si>
  <si>
    <t>https://doi.org/10.1080/02796015.1998.12085916</t>
  </si>
  <si>
    <t>Reducing disruptive behavior in general education classrooms: The use of self-management strategies</t>
  </si>
  <si>
    <t>Hoff</t>
  </si>
  <si>
    <t>R08_S034</t>
  </si>
  <si>
    <r>
      <rPr>
        <u/>
        <sz val="10"/>
        <color rgb="FF1155CC"/>
        <rFont val="&quot;Open Sans&quot;, sans-serif"/>
      </rPr>
      <t>https://doi.org/10.1080/0144341890090305</t>
    </r>
  </si>
  <si>
    <t>Improving social behaviour and academic performance of a secondary school pupil through self-recording: A replication of Merrett and Blundell</t>
  </si>
  <si>
    <t>Houghton</t>
  </si>
  <si>
    <t>R08_S035</t>
  </si>
  <si>
    <t>https://doi.org/10.1177/004005990003200507</t>
  </si>
  <si>
    <t>Self-recording plus encouragement equals improved behavior</t>
  </si>
  <si>
    <t>Hutchinson</t>
  </si>
  <si>
    <t>Teaching Exceptional Children</t>
  </si>
  <si>
    <t>R08_S036</t>
  </si>
  <si>
    <r>
      <rPr>
        <u/>
        <sz val="10"/>
        <color rgb="FF1155CC"/>
        <rFont val="&quot;Nexus Sans Pro&quot;, sans-serif"/>
      </rPr>
      <t>10.1007/s10864-019-09346-5</t>
    </r>
  </si>
  <si>
    <t>Improving Compliance in Primary School Students with Autism Spectrum Disorder</t>
  </si>
  <si>
    <t>Imasaka</t>
  </si>
  <si>
    <t>R08_S037</t>
  </si>
  <si>
    <t>Use of a classwide self-management program to improve the behavior of students with emotional and behavioral disorders</t>
  </si>
  <si>
    <t>Kern</t>
  </si>
  <si>
    <t>R08_S038</t>
  </si>
  <si>
    <t>https://doi.org/10.1002/bin.1379</t>
  </si>
  <si>
    <t>Utilization of video modeling combined with self-monitoring to increase rates of on-task behavior</t>
  </si>
  <si>
    <t>King</t>
  </si>
  <si>
    <t>Behavioral Interventions</t>
  </si>
  <si>
    <t>R08_S039</t>
  </si>
  <si>
    <t>https://doi.org/10.1037/spq0000162</t>
  </si>
  <si>
    <t>On-Task in a Box: An evaluation of a package-ready intervention for increasing levels of on-task behavior and academic performance</t>
  </si>
  <si>
    <t>School Psychology</t>
  </si>
  <si>
    <t>R08_S040</t>
  </si>
  <si>
    <t>https://doi.org/10.1007/s10864-019-09352-7</t>
  </si>
  <si>
    <t>The effects of self-monitoring on on-task behaviors in individuals with autism spectrum disorders</t>
  </si>
  <si>
    <t>Kolbenschlag</t>
  </si>
  <si>
    <t>R08_S041</t>
  </si>
  <si>
    <t>https://doi.org/10.25417/uic.12481187</t>
  </si>
  <si>
    <t>A single-case study of a self-monitoring intervention for high school students</t>
  </si>
  <si>
    <t>Kumm</t>
  </si>
  <si>
    <t>University of Illinois at Chicago</t>
  </si>
  <si>
    <t>R08_S042</t>
  </si>
  <si>
    <t>Effects of student self-monitoring of behaviors selected from IEP goals</t>
  </si>
  <si>
    <t>Kunsch</t>
  </si>
  <si>
    <t>Lehigh University</t>
  </si>
  <si>
    <t>R08_S043</t>
  </si>
  <si>
    <t>https://doi.org/10.1037/h0100359</t>
  </si>
  <si>
    <t>The effects of self-monitoring with a MotivAider on the on-task behavior of fifth and sixth graders with autism and other disabilities</t>
  </si>
  <si>
    <t>Legge</t>
  </si>
  <si>
    <t>Journal of Behavior Assessment and Intervention in Children</t>
  </si>
  <si>
    <t>R08_S044</t>
  </si>
  <si>
    <t>https://doi.org/10.1177/019874290002500308</t>
  </si>
  <si>
    <t>Self-monitoring for elementary school children with serious emotional disturbances: Classroom applications for increased academic responding</t>
  </si>
  <si>
    <t>Levendoski</t>
  </si>
  <si>
    <t>R08_S045</t>
  </si>
  <si>
    <t>Using self-monitoring to support student Behavior in a Juvenile Justice Facility</t>
  </si>
  <si>
    <t>Lively</t>
  </si>
  <si>
    <t>Journal of Correctional Education</t>
  </si>
  <si>
    <t>R08_S046</t>
  </si>
  <si>
    <t>https://doi.org/10.1901/jaba.1989.22-315</t>
  </si>
  <si>
    <t>Self-recording of attention versus productivity</t>
  </si>
  <si>
    <t>Lloyd</t>
  </si>
  <si>
    <t>Journal of Applied Behavior Analysis</t>
  </si>
  <si>
    <t>R08_S047</t>
  </si>
  <si>
    <t>https://doi.org/10.1177/019874290603100204</t>
  </si>
  <si>
    <t>FBA and BIP: Increasing the behavior adjustment of African American boys in schools</t>
  </si>
  <si>
    <t>Lo</t>
  </si>
  <si>
    <t>R08_S048</t>
  </si>
  <si>
    <t>https://doi.org/10.1007/bf00961546</t>
  </si>
  <si>
    <t>Effects of training to increase self-monitoring accuracy</t>
  </si>
  <si>
    <t>Marshall</t>
  </si>
  <si>
    <t>R08_S049</t>
  </si>
  <si>
    <t>https://doi.org/10.1177/074193259701800206</t>
  </si>
  <si>
    <t>The effects of self-monitoring on children with attention-deficit/hyperactivity disorder who are receiving pharmacological interventions</t>
  </si>
  <si>
    <t>Mathes</t>
  </si>
  <si>
    <t>Remedial and Special Education</t>
  </si>
  <si>
    <t>R08_S050</t>
  </si>
  <si>
    <t>https://doi.org/10.1080/00220671.1995.9941315</t>
  </si>
  <si>
    <t>Using audio-cued self-monitoring for students with severe behavior disorders</t>
  </si>
  <si>
    <t>McDougall</t>
  </si>
  <si>
    <t>The Journal of Educational Research</t>
  </si>
  <si>
    <t>R08_S051</t>
  </si>
  <si>
    <t>https://doi.org/10.1037/h0100349</t>
  </si>
  <si>
    <t>Examining the effects of teacher and self-evaluation of disruptive behavior via school-home notes for two young children in kindergarten</t>
  </si>
  <si>
    <t>McGoey</t>
  </si>
  <si>
    <t>Journal of Early and Intensive Behavior Intervention</t>
  </si>
  <si>
    <t>R08_S052</t>
  </si>
  <si>
    <t>https://doi.org/10.1007/s10864-013-9180-6</t>
  </si>
  <si>
    <t>Increasing on-task behavior in students in a regular classroom: Effectiveness of a self-management procedure using a tactile prompt</t>
  </si>
  <si>
    <t>Moore</t>
  </si>
  <si>
    <t>R08_S053</t>
  </si>
  <si>
    <t>https://doi.org/10.1080/01443410120065469</t>
  </si>
  <si>
    <t>Self-recording with goal setting: A self-management programme for the classroom</t>
  </si>
  <si>
    <t>R08_S054</t>
  </si>
  <si>
    <t>Self-regulated assignment attack strategy: Evaluating the effects of a classroom-level intervention on student management of curricular activities</t>
  </si>
  <si>
    <t>Ness</t>
  </si>
  <si>
    <t>Learning Disabilities: A Contemporary Journal</t>
  </si>
  <si>
    <t>R08_S055</t>
  </si>
  <si>
    <t>Use of self-monitoring and delayed feedback to increase on-task behavior in a post-institutionalized child within regular classroom settings</t>
  </si>
  <si>
    <t>O'Reilly</t>
  </si>
  <si>
    <t>R08_S056</t>
  </si>
  <si>
    <t>Using self-management procedures to improve classroom social skills in multiple general education settings</t>
  </si>
  <si>
    <t>Peterson</t>
  </si>
  <si>
    <t>R08_S057</t>
  </si>
  <si>
    <t>https://doi.org/10.1007/s10864-009-9092-7</t>
  </si>
  <si>
    <t>Self-monitoring of attention versus self-monitoring of performance: Examining the differential effects among students with emotional disturbance engaged in independent math practice</t>
  </si>
  <si>
    <t>Rafferty</t>
  </si>
  <si>
    <t>R08_S058</t>
  </si>
  <si>
    <t>https://doi.org/10.1007/s10864-018-09317-2</t>
  </si>
  <si>
    <t>Effects of a self-management with peer training intervention on academic engagement for high school students with autism spectrum disorder</t>
  </si>
  <si>
    <t>Roberts</t>
  </si>
  <si>
    <t>R08_S059</t>
  </si>
  <si>
    <t>https://doi.org/10.1007/s10864-007-9049-7</t>
  </si>
  <si>
    <t>The effects of fading a strategic self-monitoring intervention on students' academic engagement, accuracy, and productivity</t>
  </si>
  <si>
    <t>Rock</t>
  </si>
  <si>
    <t>R08_S060</t>
  </si>
  <si>
    <t>The effect of web-based self-monitoring, i-connect, to increase on-task behavior of high school students with autism</t>
  </si>
  <si>
    <t>Romans</t>
  </si>
  <si>
    <t>Missouri State University</t>
  </si>
  <si>
    <t>R08_S061</t>
  </si>
  <si>
    <t>https://doi.org/10.1177/093889828800302a04</t>
  </si>
  <si>
    <t>The effects of self-monitoring on adult behavior and student independence</t>
  </si>
  <si>
    <t>Rooney</t>
  </si>
  <si>
    <t>Learning Disabilities Research</t>
  </si>
  <si>
    <t>R08_S062</t>
  </si>
  <si>
    <t>https://doi.org/10.1080/10400435.2015.1059384</t>
  </si>
  <si>
    <t>Technology delivered self-monitoring application to promote successful inclusion of an elementary student with autism</t>
  </si>
  <si>
    <t>Rosenbloom</t>
  </si>
  <si>
    <t>Assistive Technology</t>
  </si>
  <si>
    <t>R08_S063</t>
  </si>
  <si>
    <t>The effects of a self-monitoring strategy on independent work skills with at-risk elementary students</t>
  </si>
  <si>
    <t>Schaeffer</t>
  </si>
  <si>
    <t>University of Pittsburgh</t>
  </si>
  <si>
    <t>R08_S064</t>
  </si>
  <si>
    <t>https://doi.org/10.1177/1098300718773462</t>
  </si>
  <si>
    <t>The effects of CellF-monitoring on students' academic engagement: A technology-based self-monitoring intervention</t>
  </si>
  <si>
    <t>Schardt</t>
  </si>
  <si>
    <t>R08_S065</t>
  </si>
  <si>
    <t>The effects of a self-monitoring and video self-modeling intervention to increase on-task behavior for children with ADHD</t>
  </si>
  <si>
    <t>Schmitt</t>
  </si>
  <si>
    <t>Indiana University</t>
  </si>
  <si>
    <t>R08_S066</t>
  </si>
  <si>
    <t>https://doi.org/10.1177/109830070000200405</t>
  </si>
  <si>
    <t>A self-management functional assessment-based behavior support plan for a middle school student with EBD</t>
  </si>
  <si>
    <t>Smith</t>
  </si>
  <si>
    <t>R08_S067</t>
  </si>
  <si>
    <t>https://doi.org/10.1177/10983007060080040301</t>
  </si>
  <si>
    <t>Efficacy of a function-based intervention in decreasing off-task behavior exhibited by student with ADHD</t>
  </si>
  <si>
    <t>Stahr</t>
  </si>
  <si>
    <t>R08_S068</t>
  </si>
  <si>
    <t>https://doi.org/10.1177/016264341302800201</t>
  </si>
  <si>
    <t>Clicking away: Repurposing student response systems to lessen off-task behavior</t>
  </si>
  <si>
    <t>Szwed</t>
  </si>
  <si>
    <t>R08_S069</t>
  </si>
  <si>
    <t>https://doi.org/10.1007/s10864-016-9253-4</t>
  </si>
  <si>
    <t>A single-subject study of a technology-based self-monitoring intervention</t>
  </si>
  <si>
    <t>Vogelgesang</t>
  </si>
  <si>
    <t>R08_S070</t>
  </si>
  <si>
    <t>Analyzing the strategies of self-management for high school students with disabilities</t>
  </si>
  <si>
    <t>Vucina</t>
  </si>
  <si>
    <t>California State University-Monterey Bay</t>
  </si>
  <si>
    <t>R08_S071</t>
  </si>
  <si>
    <t>Self-monitoring procedures with elementary aged children of color with disruptive behaviors in an urban setting</t>
  </si>
  <si>
    <t>Warnke</t>
  </si>
  <si>
    <t>University of Wisconsin-Milwaukee</t>
  </si>
  <si>
    <t>R08_S072</t>
  </si>
  <si>
    <t>https://doi.org/10.1007/s10864-014-9204-x</t>
  </si>
  <si>
    <t>Implementation of a self-monitoring application to improve on-task behavior: A high-school pilot study</t>
  </si>
  <si>
    <t>Wills</t>
  </si>
  <si>
    <t>R08_S073</t>
  </si>
  <si>
    <t>https://doi.org/10.1023/a:1016695806663</t>
  </si>
  <si>
    <t>Effects of self-monitoring on the on-task behavior and written language performance of elementary students with learning disabilities</t>
  </si>
  <si>
    <t>Wolfe</t>
  </si>
  <si>
    <t>R08_S074</t>
  </si>
  <si>
    <t>https://doi.org/10.1177/014544502236653</t>
  </si>
  <si>
    <t>Self-monitoring and at-risk middle school students: Academic performance improves, maintains, and generalizes</t>
  </si>
  <si>
    <t>Wood</t>
  </si>
  <si>
    <t>R08_S075</t>
  </si>
  <si>
    <t>https://doi.org/10.1023/a:1022891725732</t>
  </si>
  <si>
    <t>Effects of self-monitoring on on-task behaviors of at-risk middle school students</t>
  </si>
  <si>
    <t>R08_S076</t>
  </si>
  <si>
    <t>The effects of partner-check self-recording of on-task behavior on academic productivity in children with behavior problems</t>
  </si>
  <si>
    <t>Ohakamnu</t>
  </si>
  <si>
    <t>Walden University</t>
  </si>
  <si>
    <t>R08_S077</t>
  </si>
  <si>
    <t>https://doi.org/10.1080/1045988x.2020.1811625</t>
  </si>
  <si>
    <t>The effect of STARS for students with high incidence disabilities: A randomized pilot study</t>
  </si>
  <si>
    <t>Stormont</t>
  </si>
  <si>
    <t>Preventing School Failure: Alternative Education for Children and Youth</t>
  </si>
  <si>
    <t>R08_S078</t>
  </si>
  <si>
    <t>https://doi.org/10.1177/1049731513509691</t>
  </si>
  <si>
    <t>A randomized trial of the self-management training and regulation strategy for disruptive students</t>
  </si>
  <si>
    <t>Thompson</t>
  </si>
  <si>
    <t>R08_S079</t>
  </si>
  <si>
    <t>https://doi.org/10.1007/s10802-010-9398-x</t>
  </si>
  <si>
    <t>Intervention to strengthen emotional self-regulation in children with emerging mental health problems: Proximal impact on school behavior</t>
  </si>
  <si>
    <t>Wyman</t>
  </si>
  <si>
    <t>Journal of Abnormal Child Psychology</t>
  </si>
  <si>
    <t>R09_S001</t>
  </si>
  <si>
    <t>R09</t>
  </si>
  <si>
    <t>https://doi.org/10.3945/ajcn.113.069807</t>
  </si>
  <si>
    <t>Malian children with moderate acute malnutrition who are treated with lipid-based dietary supplements have greater weight gains and recovery rates than those treated with locally produced cereal-legume products: A community-based, cluster-randomized trial</t>
  </si>
  <si>
    <t>Ackatia-Armah</t>
  </si>
  <si>
    <t>The American Journal of Clinical Nutrition</t>
  </si>
  <si>
    <t>R09_S002</t>
  </si>
  <si>
    <t>https://doi.org/10.1016/s0140-6736(94)92885-1</t>
  </si>
  <si>
    <t>Controlled trial of three approaches to the treatment of severe malnutrition</t>
  </si>
  <si>
    <t>Ashworth</t>
  </si>
  <si>
    <t>The Lancet</t>
  </si>
  <si>
    <t>R09_S003</t>
  </si>
  <si>
    <t>https://doi.org/10.1093/heapol/12.2.115</t>
  </si>
  <si>
    <t>Cost-effective treatment for severely malnourished children: What is the best approach?</t>
  </si>
  <si>
    <t>Health Policy and Planning</t>
  </si>
  <si>
    <t>R09_S004</t>
  </si>
  <si>
    <t>https://doi.org/10.3945/ajcn.115.119537</t>
  </si>
  <si>
    <t>Cereals and pulse-based ready-to-use therapeutic food as an alternative to the standard milk-and peanut paste-based formulation for treating severe acute malnutrition: A noninferiority, individually randomized controlled efficacy clinical trial</t>
  </si>
  <si>
    <t>Bahwere</t>
  </si>
  <si>
    <t>R09_S005</t>
  </si>
  <si>
    <t>https://doi.org/10.1111/mcn.12112</t>
  </si>
  <si>
    <t>Effectiveness of milk whey protein-based ready-to-use therapeutic food in treatment of severe acute malnutrition in Malawian under-5 children: A randomised, double-blind, controlled non-inferiority clinical trial</t>
  </si>
  <si>
    <t>R09_S006</t>
  </si>
  <si>
    <t>https://doi.org/10.3945/ajcn.117.156653</t>
  </si>
  <si>
    <t>Soya, maize, and sorghum-based ready-to-use therapeutic food with amino acid is as efficacious as the standard milk and peanut paste-based formulation for the treatment of severe acute malnutrition in children: A noninferiority individually randomized controlled efficacy clinical trial in Malawi</t>
  </si>
  <si>
    <t>R09_S007</t>
  </si>
  <si>
    <t>https://doi.org/10.1016/s2214-109x(16)30096-1</t>
  </si>
  <si>
    <t>Daily co-trimoxazole prophylaxis to prevent mortality in children with complicated severe acute malnutrition: A multicentre, double-blind, randomised placebo-controlled trial</t>
  </si>
  <si>
    <t>Berkley</t>
  </si>
  <si>
    <t>The Lancet Global Health</t>
  </si>
  <si>
    <t>R09_S008</t>
  </si>
  <si>
    <t>https://doi.org/10.1136/bmjgh-2016-000144</t>
  </si>
  <si>
    <t>Efficacy of three feeding regimens for home-based management of children with uncomplicated severe acute malnutrition: A randomised trial in India</t>
  </si>
  <si>
    <t>Bhandari</t>
  </si>
  <si>
    <t>R09_S009</t>
  </si>
  <si>
    <t>https://doi.org/10.3945/jn.112.168047</t>
  </si>
  <si>
    <t>Children successfully treated for moderate acute malnutrition remain at risk for malnutrition and death in the subsequent year after recovery</t>
  </si>
  <si>
    <t>The Journal of Nutrition</t>
  </si>
  <si>
    <t>R09_S010</t>
  </si>
  <si>
    <t>https://doi.org/10.1093/tropej/40.4.225</t>
  </si>
  <si>
    <t>Randomized clinical trial comparing hospital to ambulatory rehabilitation of malnourished children in Niger</t>
  </si>
  <si>
    <t>Chapko</t>
  </si>
  <si>
    <t>R09_S011</t>
  </si>
  <si>
    <t>https://doi.org/10.1093/ajcn/81.4.864</t>
  </si>
  <si>
    <t>Comparison of home-based therapy with ready-to-use therapeutic food with standard therapy in the treatment of malnourished Malawian children: A controlled, clinical effectiveness trial</t>
  </si>
  <si>
    <t>Ciliberto</t>
  </si>
  <si>
    <t>R09_S012</t>
  </si>
  <si>
    <t>https://doi.org/10.1093/ajcn/78.2.302</t>
  </si>
  <si>
    <t>Comparison of the efficacy of a solid ready-to-use food and a liquid, milk-based diet for the rehabilitation of severely malnourished children: A randomized trial</t>
  </si>
  <si>
    <t>Diop</t>
  </si>
  <si>
    <t>R09_S013</t>
  </si>
  <si>
    <t>https://doi.org/10.1093/ajcn/68.6.1254</t>
  </si>
  <si>
    <t>Randomized placebo-controlled clinical trial of the effect of a single high dose or daily low doses of vitamin A on the morbidity of hospitalised, malnourished children</t>
  </si>
  <si>
    <t>Donnen</t>
  </si>
  <si>
    <t>R09_S014</t>
  </si>
  <si>
    <t>https://doi.org/10.1371/journal.pmed.1002387</t>
  </si>
  <si>
    <t>Effectiveness of food supplements in increasing fat-free tissue accretion in children with moderate acute malnutrition: A randomised 2x2x3 factorial trial in Burkina Faso</t>
  </si>
  <si>
    <t>Fabiansen</t>
  </si>
  <si>
    <t>PLoS Medicine</t>
  </si>
  <si>
    <t>R09_S015</t>
  </si>
  <si>
    <t>Hospital management of severely malnourished children: Comparison of locally adapted protocol with WHO protocol</t>
  </si>
  <si>
    <t>Hossain</t>
  </si>
  <si>
    <t>Indian Pediatrics</t>
  </si>
  <si>
    <t>R09_S016</t>
  </si>
  <si>
    <t>https://doi.org/10.1097/mpg.0000000000000741</t>
  </si>
  <si>
    <t>High oleic ready-to-use therapeutic food maintains docosahexaenoic acid status in severe malnutrition: A randomized, blinded trial</t>
  </si>
  <si>
    <t>Hsieh</t>
  </si>
  <si>
    <t>R09_S017</t>
  </si>
  <si>
    <t>https://doi.org/10.1111/mcn.12054</t>
  </si>
  <si>
    <t>Comparison of the effectiveness of a milk-free soy-maize-sorghum-based ready-to-use therapeutic food to standard ready-to-use therapeutic food with 25% milk in nutrition management of severely acutely malnourished Zambian children: An equivalence non-blinded cluster randomised controlled trial</t>
  </si>
  <si>
    <t>Irena</t>
  </si>
  <si>
    <t>R09_S018</t>
  </si>
  <si>
    <t>https://doi.org/10.1056/nejmoa1507024</t>
  </si>
  <si>
    <t>Routine amoxicillin for uncomplicated severe acute malnutrition in children</t>
  </si>
  <si>
    <t>Isanaka</t>
  </si>
  <si>
    <t>R09_S019</t>
  </si>
  <si>
    <t>https://doi.org/10.1186/s12916-015-0315-6</t>
  </si>
  <si>
    <t>Ready-to-use therapeutic food with elevated n-3 polyunsaturated fatty acid content, with or without fish oil, to treat severe acute malnutrition: A randomized controlled trial1</t>
  </si>
  <si>
    <t>Jones</t>
  </si>
  <si>
    <t>BMC Medicine4</t>
  </si>
  <si>
    <t>R09_S020</t>
  </si>
  <si>
    <t>https://doi.org/10.3945/ajcn.111.029744</t>
  </si>
  <si>
    <t>Treatment of moderate acute malnutrition with ready-to-use supplementary food results in higher overall recovery rates compared with a corn-soya blend in children in southern Ethiopia: An operations research trial</t>
  </si>
  <si>
    <t>Karakochuk</t>
  </si>
  <si>
    <t>R09_S021</t>
  </si>
  <si>
    <t>https://doi.org/10.3945/ajcn.111.022525</t>
  </si>
  <si>
    <t>A novel fortified blended flour, corn-soy blend "plus-plus," is not inferior to lipid-based ready-to-use supplementary foods for the treatment of moderate acute malnutrition in Malawian children6</t>
  </si>
  <si>
    <t>LaGrone</t>
  </si>
  <si>
    <t>The American Journal of Clinical Nutrition9</t>
  </si>
  <si>
    <t>R09_S022</t>
  </si>
  <si>
    <t>Randomized, double-blind, placebo-controlled trial evalu11ating the need for routine antibiotics as part of the outpatient management of severe acute malnutrition</t>
  </si>
  <si>
    <t>Manary</t>
  </si>
  <si>
    <t>FHI360/FANTA-2 Bridge</t>
  </si>
  <si>
    <t>R09_S023</t>
  </si>
  <si>
    <t>https://doi.org/10.1136/adc.2003.034306</t>
  </si>
  <si>
    <t>Home based therapy for severe malnutrition with ready-to-use food</t>
  </si>
  <si>
    <t>R09_S024</t>
  </si>
  <si>
    <t>https://doi.org/10.3945/jn.108.104018</t>
  </si>
  <si>
    <t>Supplementary feeding with fortified spreads results in higher recovery rates than with a corn/soy blend in moderately wasted children</t>
  </si>
  <si>
    <t>Matilsky</t>
  </si>
  <si>
    <t>R09_S025</t>
  </si>
  <si>
    <t>https://doi.org/10.3945/jn.115.214957</t>
  </si>
  <si>
    <t>Severe and moderate acute malnutrition can be successfully managed with an integrated protocol in Sierra Leone</t>
  </si>
  <si>
    <t>Maust</t>
  </si>
  <si>
    <t>R09_S026</t>
  </si>
  <si>
    <t>https://doi.org/10.1017/s1368980015001238</t>
  </si>
  <si>
    <t>Recovery rate of children with moderate acute malnutrition treated with ready-to-use supplementary food (RUSF) or improved corn-soya blend (CSB+): A randomized controlled trial</t>
  </si>
  <si>
    <t>Medoua</t>
  </si>
  <si>
    <t>Public Health Nutrition</t>
  </si>
  <si>
    <t>R09_S027</t>
  </si>
  <si>
    <t>https://doi.org/10.18203/2349-3291.ijcp20172692</t>
  </si>
  <si>
    <t>Locally prepared ready to use therapeutic food for the treatment of children with severe acute malnutrition: A randomised controlled trial</t>
  </si>
  <si>
    <t>Mishra</t>
  </si>
  <si>
    <t>World Journal of Pharmaceutical and Medical Research</t>
  </si>
  <si>
    <t>R09_S028</t>
  </si>
  <si>
    <t>https://doi.org/10.1093/tropej/fmq019</t>
  </si>
  <si>
    <t>Effectiveness of ready-to-use therapeutic food compared to a corn/soy-blend-based pre-mix for the treatment of childhood moderate acute malnutrition in Niger</t>
  </si>
  <si>
    <t>Nackers</t>
  </si>
  <si>
    <t>R09_S029</t>
  </si>
  <si>
    <t>https://doi.org/10.3945/ajcn.113.072538</t>
  </si>
  <si>
    <t>Treating moderate acute malnutrition in first-line health services: An effectiveness cluster-randomized trial in Burkina Faso</t>
  </si>
  <si>
    <t>Nikièma</t>
  </si>
  <si>
    <t>R09_S030</t>
  </si>
  <si>
    <t>https://doi.org/10.3945/jn.110.123828</t>
  </si>
  <si>
    <t>A ready-to-use therapeutic food containing 10% milk is less effective than one with 25% milk in the treatment of severely malnourished children</t>
  </si>
  <si>
    <t>Oakley</t>
  </si>
  <si>
    <t>R09_S031</t>
  </si>
  <si>
    <t>https://doi.org/10.1111/j.1740-8709.2008.00162.x</t>
  </si>
  <si>
    <t>Supplementary feeding with fortified spread among moderately underweight 6-18-month-old rural Malawian children</t>
  </si>
  <si>
    <t>Phuka</t>
  </si>
  <si>
    <t>R09_S032</t>
  </si>
  <si>
    <t>https://doi.org/10.1093/heapol/czs070</t>
  </si>
  <si>
    <t>Cost-effectiveness of the community-based management of severe acute malnutrition by community health workers in southern Bangladesh</t>
  </si>
  <si>
    <t>Puett</t>
  </si>
  <si>
    <t>R09_S033</t>
  </si>
  <si>
    <t>https://doi.org/10.1097/00005176-200408000-00003</t>
  </si>
  <si>
    <t>Home-based treatment of malnourished Malawian children with locally produced or imported ready-to-use food12</t>
  </si>
  <si>
    <t>Sandige</t>
  </si>
  <si>
    <t>Journal of Pediatric Gastroenterology and Nutrition15</t>
  </si>
  <si>
    <t>R09_S034</t>
  </si>
  <si>
    <t>https://doi.org/10.1371/journal.pone.0201686</t>
  </si>
  <si>
    <t>Amino-acid-enriched cereals ready-to-use therapeutic foods (RUTF) are as effective as milk-based RUTF in recovering essential amino acid during the treatment of severe acute malnutrition in children: An individually randomized control trial in Malawi</t>
  </si>
  <si>
    <t>Sato</t>
  </si>
  <si>
    <t>PLoS One</t>
  </si>
  <si>
    <t>R09_S035</t>
  </si>
  <si>
    <t>https://doi.org/10.1371/journal.pone.0033112</t>
  </si>
  <si>
    <t>Efficacy of a high-dose in addition to daily low-dose vitamin A in children suffering from severe acute malnutrit19ion with other illnesses</t>
  </si>
  <si>
    <t>Sattar</t>
  </si>
  <si>
    <t>R09_S036</t>
  </si>
  <si>
    <t>https://doi.org/10.6133/apjcn.2015.24.1.15</t>
  </si>
  <si>
    <t>Locally produced cereal/nut/legume-based biscuits versus peanut/milk-based spread for treatment of moderately to mildly wasted children in daily programmes on Nias Island, Indonesia: An issue of acceptance and compliance?</t>
  </si>
  <si>
    <t>Scherbaum</t>
  </si>
  <si>
    <t>R09_S037</t>
  </si>
  <si>
    <t>https://doi.org/10.1093/tropej/fmt039</t>
  </si>
  <si>
    <t>Effectiveness of indigenous ready-to-use therapeutic food in community-based management of uncomplicated severe acute malnutrition: A randomized controlled trial from India</t>
  </si>
  <si>
    <t>Shewade</t>
  </si>
  <si>
    <t>R09_S038</t>
  </si>
  <si>
    <t>https://doi.org/10.3390/nu10070909</t>
  </si>
  <si>
    <t>Effectiveness of a locally produced, fish-based food product on weight gain among Cambodian children in the treatment of acute malnutrition: A randomized controlled trial</t>
  </si>
  <si>
    <t>Sigh</t>
  </si>
  <si>
    <t>R09_S039</t>
  </si>
  <si>
    <t>https://doi.org/10.1007/s13312-010-0100-8</t>
  </si>
  <si>
    <t>Locally made ready-to-use therapeutic food for treatment of malnutrition: A randomized controlled trial</t>
  </si>
  <si>
    <t>Singh</t>
  </si>
  <si>
    <t>R09_S040</t>
  </si>
  <si>
    <t>https://doi.org/10.3945/ajcn.115.124636</t>
  </si>
  <si>
    <t>Including whey protein and whey permeate in ready-to-use supplementary food improves recovery rates in children with moderate acute malnutrition: A randomized, double-blind clinical trial</t>
  </si>
  <si>
    <t>Stobaugh</t>
  </si>
  <si>
    <t>R09_S041</t>
  </si>
  <si>
    <t>https://doi.org/10.1007/s13312-013-0097-x</t>
  </si>
  <si>
    <t>Locally-prepared ready-to-use therapeutic food for children with severe acute malnutrition: A controlled trial</t>
  </si>
  <si>
    <t>Thakur</t>
  </si>
  <si>
    <t>R09_S042</t>
  </si>
  <si>
    <t>https://doi.org/10.3945/jn.110.122499</t>
  </si>
  <si>
    <t>A lipid-based nutrient supplement but not corn-soy blend modestly increases weight gain among 6-to 18-month-old moderately underweight children in rural Malawi</t>
  </si>
  <si>
    <t>Thakwalakwa</t>
  </si>
  <si>
    <t>R09_S043</t>
  </si>
  <si>
    <r>
      <rPr>
        <u/>
        <sz val="12"/>
        <color rgb="FF1155CC"/>
        <rFont val="Arial"/>
        <scheme val="minor"/>
      </rPr>
      <t>10.1097/MPG.0000000000000639</t>
    </r>
  </si>
  <si>
    <t>Extending supplementary feeding for children under five with moderate acute malnutrition leads to lower relapse rates</t>
  </si>
  <si>
    <t>Trehan</t>
  </si>
  <si>
    <t>R09_S044</t>
  </si>
  <si>
    <t>10.1056/NEJMoa1202851</t>
  </si>
  <si>
    <t>Antibiotics as part of the management of severe acute malnutrition</t>
  </si>
  <si>
    <t>R09_S045</t>
  </si>
  <si>
    <t>A hand-made supplementary food for malnourished children</t>
  </si>
  <si>
    <t>Vanelli</t>
  </si>
  <si>
    <t>Acta Bio Medica Atenei Parmensis</t>
  </si>
  <si>
    <t>R09_S046</t>
  </si>
  <si>
    <r>
      <rPr>
        <u/>
        <sz val="12"/>
        <color rgb="FF1155CC"/>
        <rFont val="Arial"/>
        <scheme val="minor"/>
      </rPr>
      <t>10.1186/s12887-017-0860-6</t>
    </r>
  </si>
  <si>
    <t>Effectiveness of three commonly used transition phase diets in the inpatient management of children with severe acute malnutrition: A pilot randomized controlled trial in Malawi</t>
  </si>
  <si>
    <t>Versloot</t>
  </si>
  <si>
    <t>BMC Pediatrics</t>
  </si>
  <si>
    <t>R09_S047</t>
  </si>
  <si>
    <r>
      <rPr>
        <u/>
        <sz val="12"/>
        <color rgb="FF1155CC"/>
        <rFont val="Arial"/>
        <scheme val="minor"/>
      </rPr>
      <t>10.1093/heapol/czr017</t>
    </r>
  </si>
  <si>
    <t>Cost-effectiveness of community-based management of acute malnutrition in Malawi</t>
  </si>
  <si>
    <t>Wilford</t>
  </si>
  <si>
    <t>R10_S001</t>
  </si>
  <si>
    <t>R10</t>
  </si>
  <si>
    <t>Jihadi terrorists in Europe their characteristics and the circumstances in which they joined the jihad: An exploratory study</t>
  </si>
  <si>
    <t>Bakker</t>
  </si>
  <si>
    <t>Netherlands Institute of International Relations Clingendael</t>
  </si>
  <si>
    <t>R10_S002</t>
  </si>
  <si>
    <t>Jihadist terrorism 16 years after 9/11: A threat assessment</t>
  </si>
  <si>
    <t>Bergen</t>
  </si>
  <si>
    <t>New America</t>
  </si>
  <si>
    <t>R10_S003</t>
  </si>
  <si>
    <r>
      <rPr>
        <u/>
        <sz val="12"/>
        <color rgb="FF1155CC"/>
        <rFont val="Arial"/>
        <scheme val="minor"/>
      </rPr>
      <t>10.3233/DEV-180255</t>
    </r>
  </si>
  <si>
    <t>Same but different? Developmental pathways to demonstrative targeted attacks</t>
  </si>
  <si>
    <t>Böckler</t>
  </si>
  <si>
    <t>International Journal of Developmental Science</t>
  </si>
  <si>
    <t>R10_S004</t>
  </si>
  <si>
    <r>
      <rPr>
        <u/>
        <sz val="12"/>
        <color rgb="FF1155CC"/>
        <rFont val="Arial"/>
        <scheme val="minor"/>
      </rPr>
      <t>10.3389/fpsyt.2021.774063</t>
    </r>
  </si>
  <si>
    <t>Adolescents engaged in radicalisation and terrorism: A dimensional and categorical assessment</t>
  </si>
  <si>
    <t>Bronsard</t>
  </si>
  <si>
    <t>Frontiers in Psychiatry</t>
  </si>
  <si>
    <t>R10_S005</t>
  </si>
  <si>
    <r>
      <rPr>
        <u/>
        <sz val="10"/>
        <color rgb="FF1155CC"/>
        <rFont val="Arial"/>
      </rPr>
      <t>https://doi.org/10.1080/1057610X.2012.675550</t>
    </r>
  </si>
  <si>
    <t>Are suicide bombers suicidal?</t>
  </si>
  <si>
    <t>Brym</t>
  </si>
  <si>
    <t>Studies in Conflict &amp; Terrorism</t>
  </si>
  <si>
    <t>R10_S006</t>
  </si>
  <si>
    <r>
      <rPr>
        <u/>
        <sz val="10"/>
        <color rgb="FF1155CC"/>
        <rFont val="Arial"/>
      </rPr>
      <t>https://doi.org/10.1177/0002764219831746</t>
    </r>
  </si>
  <si>
    <t>The problem of overgeneralization: The case of mental health problems and US violent White supremacists</t>
  </si>
  <si>
    <t>Bubolz</t>
  </si>
  <si>
    <t>American Behavioral Scientist</t>
  </si>
  <si>
    <t>R10_S007</t>
  </si>
  <si>
    <r>
      <rPr>
        <u/>
        <sz val="10"/>
        <color rgb="FF1155CC"/>
        <rFont val="&quot;Open Sans&quot;, sans-serif"/>
      </rPr>
      <t>https://doi.org/10.1080/19434472.2021.1874041</t>
    </r>
  </si>
  <si>
    <t>Classifying terrorism: A latent class analysis of primary source socio‐political and psychological data</t>
  </si>
  <si>
    <t>Candilis</t>
  </si>
  <si>
    <t>Behavioral Sciences of Terrorism and Political Aggression</t>
  </si>
  <si>
    <t>R10_S008</t>
  </si>
  <si>
    <r>
      <rPr>
        <u/>
        <sz val="10"/>
        <color rgb="FF1155CC"/>
        <rFont val="&quot;Open Sans&quot;, sans-serif"/>
      </rPr>
      <t>https://doi.org/10.1080/1057610X.2015.1008341</t>
    </r>
  </si>
  <si>
    <t>Lone wolf terrorist or deranged shooter? A study of ideological active shooter events in the United States, 1970–2014</t>
  </si>
  <si>
    <t>Capellan</t>
  </si>
  <si>
    <t>R10_S009</t>
  </si>
  <si>
    <r>
      <rPr>
        <u/>
        <sz val="10"/>
        <color rgb="FF1155CC"/>
        <rFont val="Arial"/>
      </rPr>
      <t>https://doi.org/10.1177/1088767918770704</t>
    </r>
  </si>
  <si>
    <t>A distinction without a difference? Examining the causal pathways behind ideologically motivated mass public shootings</t>
  </si>
  <si>
    <t>Homicide Studies</t>
  </si>
  <si>
    <t>R10_S010</t>
  </si>
  <si>
    <r>
      <rPr>
        <u/>
        <sz val="12"/>
        <color rgb="FF1155CC"/>
        <rFont val="Arial"/>
        <scheme val="minor"/>
      </rPr>
      <t>10.1111/1556-4029.13985</t>
    </r>
  </si>
  <si>
    <t>Disaggregating mass public shootings: A comparative analysis of disgruntled employee, school, ideologically motivated, and rampage shooters</t>
  </si>
  <si>
    <t>Journal of Forensic Sciences</t>
  </si>
  <si>
    <t>R10_S011</t>
  </si>
  <si>
    <r>
      <rPr>
        <u/>
        <sz val="10"/>
        <color rgb="FF1155CC"/>
        <rFont val="&quot;Open Sans&quot;, sans-serif"/>
      </rPr>
      <t>https://doi.org/10.1080/09546553.2014.975646</t>
    </r>
  </si>
  <si>
    <t>Laying a foundation for the criminological examination of right‐wing, left‐wing, and Al Qaeda‐inspired extremism in the United States</t>
  </si>
  <si>
    <t>Chermak</t>
  </si>
  <si>
    <t>Terrorism and Political Violence</t>
  </si>
  <si>
    <t>R10_S012</t>
  </si>
  <si>
    <r>
      <rPr>
        <u/>
        <sz val="10"/>
        <color rgb="FF1155CC"/>
        <rFont val="Arial"/>
      </rPr>
      <t>10.1080/19434472.2020.1819372</t>
    </r>
  </si>
  <si>
    <t>Understanding youth radicalisation: An analysis of Australian data</t>
  </si>
  <si>
    <t>Cherney</t>
  </si>
  <si>
    <t>R10_S013</t>
  </si>
  <si>
    <t>https://doi.org/10.1111/1745-9133.12466</t>
  </si>
  <si>
    <t>Analyzing person‐exposure patterns in lone‐actor terrorism: Implications for threat assessment and intelligence gathering</t>
  </si>
  <si>
    <t>Clemmow</t>
  </si>
  <si>
    <t>Criminology &amp; Public Policy</t>
  </si>
  <si>
    <t>R10_S014</t>
  </si>
  <si>
    <r>
      <rPr>
        <u/>
        <sz val="12"/>
        <color rgb="FF1155CC"/>
        <rFont val="Arial"/>
        <scheme val="minor"/>
      </rPr>
      <t>10.1037/lhb0000102</t>
    </r>
  </si>
  <si>
    <t>A false dichotomy? Mental illness and lone‐actor terrorism</t>
  </si>
  <si>
    <t>Corner</t>
  </si>
  <si>
    <t>Law and Human Behavior</t>
  </si>
  <si>
    <t>R10_S015</t>
  </si>
  <si>
    <r>
      <rPr>
        <u/>
        <sz val="10"/>
        <color rgb="FF1155CC"/>
        <rFont val="Arial"/>
      </rPr>
      <t>https://doi.org/10.1080/1068316X.2018.1503664</t>
    </r>
  </si>
  <si>
    <t>The multifinality of vulnerability indicators in lone‐actor terrorism</t>
  </si>
  <si>
    <t>Psychology, Crime &amp; Law</t>
  </si>
  <si>
    <t>R10_S016</t>
  </si>
  <si>
    <t>https://doi.org/10.1007/s10940-019-09420-1</t>
  </si>
  <si>
    <t>Psychological distress, terrorist involvement and disengagement from terrorism: A sequence analysis approach</t>
  </si>
  <si>
    <t>Journal of Quantitative Criminology</t>
  </si>
  <si>
    <t>R10_S017</t>
  </si>
  <si>
    <r>
      <rPr>
        <u/>
        <sz val="12"/>
        <color rgb="FF1155CC"/>
        <rFont val="Arial"/>
        <scheme val="minor"/>
      </rPr>
      <t>10.1177/13634615211023669</t>
    </r>
  </si>
  <si>
    <t>Psychological distress and terrorist engagement: Measuring, correlating, and sequencing its onset with negative life events, social factors, and protective factors</t>
  </si>
  <si>
    <t>R10_S018</t>
  </si>
  <si>
    <t>Analysing personal characteristics of lone‐actor terrorists: Research findings and recommendations</t>
  </si>
  <si>
    <t>de Roy van Zuijdewijn</t>
  </si>
  <si>
    <t>Perspectives on Terrorism</t>
  </si>
  <si>
    <t>R10_S019</t>
  </si>
  <si>
    <r>
      <rPr>
        <u/>
        <sz val="10"/>
        <color rgb="FF1155CC"/>
        <rFont val="&quot;Open Sans&quot;, sans-serif"/>
      </rPr>
      <t>https://doi.org/10.1080/19434472.2019.1591481</t>
    </r>
  </si>
  <si>
    <t>Risk factors for terrorism: A comparison of family, childhood, and personality risk factors among Iraqi terrorists, murderers, and controls</t>
  </si>
  <si>
    <t>Dhumad</t>
  </si>
  <si>
    <t>R10_S020</t>
  </si>
  <si>
    <r>
      <rPr>
        <u/>
        <sz val="12"/>
        <color rgb="FF1155CC"/>
        <rFont val="Arial"/>
        <scheme val="minor"/>
      </rPr>
      <t>10.3389/fpsyt.2022.801751</t>
    </r>
  </si>
  <si>
    <t>Psychopathology of young terrorist offenders, and the interaction with ideology and grievances</t>
  </si>
  <si>
    <t>Duits</t>
  </si>
  <si>
    <t>R10_S021</t>
  </si>
  <si>
    <t>Lone offender: A study of lone offender terrorism in the United States, 1972‐2015</t>
  </si>
  <si>
    <t>FBI</t>
  </si>
  <si>
    <t>FBI National Center for the Analysis of Violent Crime</t>
  </si>
  <si>
    <t>R10_S022</t>
  </si>
  <si>
    <r>
      <rPr>
        <u/>
        <sz val="10"/>
        <color rgb="FF1155CC"/>
        <rFont val="&quot;Open Sans&quot;, sans-serif"/>
      </rPr>
      <t>https://doi.org/10.1080/09546553.2017.1297708</t>
    </r>
  </si>
  <si>
    <t>Comparing extremist perpetrators of suicide and non‐suicide attacks in the United States</t>
  </si>
  <si>
    <t>Freilich</t>
  </si>
  <si>
    <t>R10_S023</t>
  </si>
  <si>
    <t>In bad faith: The link between religious conversion and violent extremism</t>
  </si>
  <si>
    <t>Gibson</t>
  </si>
  <si>
    <t>Naval Postgraduate School Monterey</t>
  </si>
  <si>
    <t>R10_S024</t>
  </si>
  <si>
    <r>
      <rPr>
        <u/>
        <sz val="10"/>
        <color rgb="FF1155CC"/>
        <rFont val="&quot;Open Sans&quot;, sans-serif"/>
      </rPr>
      <t>https://doi.org/10.1080/09546553.2016.1277669</t>
    </r>
  </si>
  <si>
    <t>Lone‐actor terrorists: A behavioural analysis</t>
  </si>
  <si>
    <t>Gill</t>
  </si>
  <si>
    <t>Routledge (Book)</t>
  </si>
  <si>
    <t>R10_S025</t>
  </si>
  <si>
    <r>
      <rPr>
        <u/>
        <sz val="10"/>
        <color rgb="FF1155CC"/>
        <rFont val="&quot;Open Sans&quot;, sans-serif"/>
      </rPr>
      <t>https://doi.org/10.1080/09546553.2019.1668781</t>
    </r>
  </si>
  <si>
    <t>What do closed source data tell us about lone actor terrorist behavior? A research note</t>
  </si>
  <si>
    <t>R10_S026</t>
  </si>
  <si>
    <t>https://doi.org/10.1111/1556-4029.12312</t>
  </si>
  <si>
    <t>Bombing alone: Tracing the motivations and antecedent behaviors of lone‐actor terrorists</t>
  </si>
  <si>
    <t>R10_S027</t>
  </si>
  <si>
    <t>https://doi.org/10.1111/1556-4029.14793</t>
  </si>
  <si>
    <t>Similar crimes, similar behaviors? Comparing lone‐actor terrorists and public mass murderers</t>
  </si>
  <si>
    <t>R10_S028</t>
  </si>
  <si>
    <t>https://doi.org/10.1007/BF02692396</t>
  </si>
  <si>
    <t>Authoritarianism and pathological hatred: A social psychological profile of the Middle Eastern terrorist</t>
  </si>
  <si>
    <t>Gottschalk</t>
  </si>
  <si>
    <t>The American Sociologist</t>
  </si>
  <si>
    <t>R10_S029</t>
  </si>
  <si>
    <t>https://doi.org/10.1111/1745-9133.12009</t>
  </si>
  <si>
    <t>Distinguishing “loner” attacks from other domestic extremist violence: A comparison of far‐right homicide incident and offender characteristics</t>
  </si>
  <si>
    <t>Gruenewald</t>
  </si>
  <si>
    <t>R10_S030</t>
  </si>
  <si>
    <t>doi.org/10.7312/hamm18174</t>
  </si>
  <si>
    <t>The age of lone wolf terrorism</t>
  </si>
  <si>
    <t>Hamm</t>
  </si>
  <si>
    <t>Columbia University Press (Book)</t>
  </si>
  <si>
    <t>R10_S031</t>
  </si>
  <si>
    <t>10.1080/09546553.2021.1957675</t>
  </si>
  <si>
    <t>Armed and explosive? An explorative statistical analysis of extremist radicalization cases with military background</t>
  </si>
  <si>
    <t>Haugstvedt</t>
  </si>
  <si>
    <t>R10_S032</t>
  </si>
  <si>
    <t>Across the universe? A comparative analysis of violent radicalization across three offender types</t>
  </si>
  <si>
    <t>Horgan</t>
  </si>
  <si>
    <t>National Criminal Justice Reference System</t>
  </si>
  <si>
    <t>R10_S033</t>
  </si>
  <si>
    <t>https://doi.org/10.5038/1944-0472.12.4.1736</t>
  </si>
  <si>
    <t>Profiling lone‐actor terrorists: A cross‐sectional study of lone‐actor terrorists in Western Europe (2015–2016)</t>
  </si>
  <si>
    <t>Khazaeli Jah</t>
  </si>
  <si>
    <t>Journal of Strategic Security</t>
  </si>
  <si>
    <t>R10_S034</t>
  </si>
  <si>
    <r>
      <rPr>
        <u/>
        <sz val="10"/>
        <color rgb="FF1155CC"/>
        <rFont val="&quot;Open Sans&quot;, sans-serif"/>
      </rPr>
      <t>https://doi.org/10.1080/19434472.2021.2013292</t>
    </r>
  </si>
  <si>
    <t>QAnon‐inspired violence in the United States: An empirical assessment of a misunderstood threat</t>
  </si>
  <si>
    <t>Jensen</t>
  </si>
  <si>
    <t>R10_S035</t>
  </si>
  <si>
    <r>
      <rPr>
        <u/>
        <sz val="10"/>
        <color rgb="FF1155CC"/>
        <rFont val="Arial"/>
      </rPr>
      <t>https://doi.org/10.1037/tam0000165</t>
    </r>
  </si>
  <si>
    <t>TRAP‐18 indicators validated through the forensic linguistic analysis of targeted violence manifestos</t>
  </si>
  <si>
    <t>Kupper</t>
  </si>
  <si>
    <t>Journal of Threat Assessment and Management</t>
  </si>
  <si>
    <t>R10_S036</t>
  </si>
  <si>
    <t>https://doi.org/10.1111/1745-9125.12169</t>
  </si>
  <si>
    <t>Correlates of violent political extremism in the United States</t>
  </si>
  <si>
    <t>LaFree</t>
  </si>
  <si>
    <t>Criminology</t>
  </si>
  <si>
    <t>R10_S037</t>
  </si>
  <si>
    <t>Psychosocial differences in far right, far left, Islamic, and single issue lone extremists</t>
  </si>
  <si>
    <t>LaMontagne</t>
  </si>
  <si>
    <t>Walden University (Dissertation)</t>
  </si>
  <si>
    <t>R10_S038</t>
  </si>
  <si>
    <r>
      <rPr>
        <u/>
        <sz val="10"/>
        <color rgb="FF1155CC"/>
        <rFont val="Arial"/>
      </rPr>
      <t>https://doi.org/10.1177/1088767912462033</t>
    </r>
  </si>
  <si>
    <t>A comparative analysis of suicide terrorists and rampage, workplace, and school shooters in the United States from 1990 to 2010</t>
  </si>
  <si>
    <t>Lankford</t>
  </si>
  <si>
    <t>R10_S039</t>
  </si>
  <si>
    <r>
      <rPr>
        <u/>
        <sz val="12"/>
        <color rgb="FF1155CC"/>
        <rFont val="Arial"/>
        <scheme val="minor"/>
      </rPr>
      <t>10.1177/1088767917736797</t>
    </r>
  </si>
  <si>
    <t>European lone actor terrorists versus “common” homicide offenders: An empirical analysis</t>
  </si>
  <si>
    <t>Liem</t>
  </si>
  <si>
    <t>R10_S040</t>
  </si>
  <si>
    <t>Extreme far‐right murder‐suicide attacks in the U.S. and Germany: A comparative storyline analysis</t>
  </si>
  <si>
    <t>Lucas</t>
  </si>
  <si>
    <t>University of Arkansas (Thesis)</t>
  </si>
  <si>
    <t>R10_S041</t>
  </si>
  <si>
    <r>
      <rPr>
        <u/>
        <sz val="10"/>
        <color rgb="FF1155CC"/>
        <rFont val="Arial"/>
      </rPr>
      <t>https://doi.org/10.1177/002580248602600304</t>
    </r>
  </si>
  <si>
    <t>A comparison of political and non‐political murderers in Northern Ireland, 1974–84</t>
  </si>
  <si>
    <t>Lyons</t>
  </si>
  <si>
    <t>Medicine, Science and the Law</t>
  </si>
  <si>
    <t>R10_S042</t>
  </si>
  <si>
    <r>
      <rPr>
        <u/>
        <sz val="10"/>
        <color rgb="FF1155CC"/>
        <rFont val="&quot;Open Sans&quot;, sans-serif"/>
      </rPr>
      <t>https://doi.org/10.1080/09546553.2020.1821668</t>
    </r>
  </si>
  <si>
    <t>Interviews with, and tests of, Palestinian independent assailants</t>
  </si>
  <si>
    <t>Merari</t>
  </si>
  <si>
    <t>R10_S043</t>
  </si>
  <si>
    <r>
      <rPr>
        <u/>
        <sz val="10"/>
        <color rgb="FF1155CC"/>
        <rFont val="Arial"/>
      </rPr>
      <t>10.1080/09546550903409312</t>
    </r>
  </si>
  <si>
    <t>Personality characteristics of “Self Martyrs”/“Suicide Bombers” and organizers of suicide attacks</t>
  </si>
  <si>
    <t>R10_S044</t>
  </si>
  <si>
    <t>10.3233/NHSDP210007</t>
  </si>
  <si>
    <t>Using interviews and psychological tests in studies of independent actors and suicide bombers</t>
  </si>
  <si>
    <t>IOS Press (Book Chapter)</t>
  </si>
  <si>
    <t>R10_S045</t>
  </si>
  <si>
    <r>
      <rPr>
        <u/>
        <sz val="10"/>
        <color rgb="FF1155CC"/>
        <rFont val="Arial"/>
      </rPr>
      <t>10.1037/tam0000119</t>
    </r>
  </si>
  <si>
    <t>Some TRAP‐18 indicators discriminate between terrorist attackers and other subjects of national security concern</t>
  </si>
  <si>
    <t>Meloy</t>
  </si>
  <si>
    <t>R10_S046</t>
  </si>
  <si>
    <r>
      <rPr>
        <u/>
        <sz val="10"/>
        <color rgb="FF1155CC"/>
        <rFont val="Arial"/>
      </rPr>
      <t>https://doi.org/10.13016/5mot-h708</t>
    </r>
  </si>
  <si>
    <t>The extreme far‐right, ideology, and violence: An exploration into the role of multiple ideological affiliation on violent mobilization</t>
  </si>
  <si>
    <t>Pendergast</t>
  </si>
  <si>
    <t>University of Maryland (Dissertation)</t>
  </si>
  <si>
    <t>R10_S047</t>
  </si>
  <si>
    <t>10.1080/1057610X.2017.1348101</t>
  </si>
  <si>
    <t>Who is the lone terrorist? A study of vehicle‐borne attackers in Israel and the West Bank</t>
  </si>
  <si>
    <t>Perry</t>
  </si>
  <si>
    <t>R10_S048</t>
  </si>
  <si>
    <r>
      <rPr>
        <u/>
        <sz val="10"/>
        <color rgb="FF1155CC"/>
        <rFont val="&quot;Open Sans&quot;, sans-serif"/>
      </rPr>
      <t>https://doi.org/10.1080/09546553.2019.1663828</t>
    </r>
  </si>
  <si>
    <t>Pathways toward Jihadism in Western Europe: An empirical exploration of a comprehensive model of terrorist radicalization</t>
  </si>
  <si>
    <t>Pfundmair</t>
  </si>
  <si>
    <t>R10_S049</t>
  </si>
  <si>
    <r>
      <rPr>
        <u/>
        <sz val="10"/>
        <color rgb="FF1155CC"/>
        <rFont val="Arial"/>
      </rPr>
      <t>https://doi.org/10.1177/0002764215588817</t>
    </r>
  </si>
  <si>
    <t>Cerberus unleashed: The three faces of the lone wolf terrorist</t>
  </si>
  <si>
    <t>Pitcavage</t>
  </si>
  <si>
    <t>R10_S050</t>
  </si>
  <si>
    <r>
      <rPr>
        <u/>
        <sz val="10"/>
        <color rgb="FF1155CC"/>
        <rFont val="Arial"/>
      </rPr>
      <t>10.13140/RG.2.2.12940.21124</t>
    </r>
  </si>
  <si>
    <t>Trauma as a precursor to violent extremism: How non‐ideological factors can influence joining an extremist group</t>
  </si>
  <si>
    <t>Simi</t>
  </si>
  <si>
    <t>START</t>
  </si>
  <si>
    <t>R10_S051</t>
  </si>
  <si>
    <r>
      <rPr>
        <u/>
        <sz val="10"/>
        <color rgb="FF1155CC"/>
        <rFont val="Arial"/>
      </rPr>
      <t>https://doi.org/10.1177/0022427815627312</t>
    </r>
  </si>
  <si>
    <t>Narratives of childhood adversity and adolescent misconduct as precursors to violent extremism: A life‐course criminological approach</t>
  </si>
  <si>
    <t>Journal of Research in Crime and Delinquency</t>
  </si>
  <si>
    <t>R10_S052</t>
  </si>
  <si>
    <r>
      <rPr>
        <u/>
        <sz val="10"/>
        <color rgb="FF1155CC"/>
        <rFont val="Arial"/>
      </rPr>
      <t>https://doi.org/10.1177/17488958211049019</t>
    </r>
  </si>
  <si>
    <t>Understanding violent extremism: Socio‐demographic, criminal and psychopathological background characteristics of detainees residing in Dutch terrorism wings</t>
  </si>
  <si>
    <t>Thijssen</t>
  </si>
  <si>
    <t>Criminology &amp; Criminal Justice</t>
  </si>
  <si>
    <t>R10_S053</t>
  </si>
  <si>
    <t>Dutch suspects of terrorist activity: A study of their biographical backgrounds based on primary sources</t>
  </si>
  <si>
    <t>van Leyenhorst</t>
  </si>
  <si>
    <t>Journal for Deradicalization</t>
  </si>
  <si>
    <t>R10_S054</t>
  </si>
  <si>
    <t>Behavioral problems and disorders among radicals in police files</t>
  </si>
  <si>
    <t>Weenink</t>
  </si>
  <si>
    <t>R10_S055</t>
  </si>
  <si>
    <t>Adversity, criminality, and mental health problems in jihadis in Dutch police files</t>
  </si>
  <si>
    <t>R10_S056</t>
  </si>
  <si>
    <r>
      <rPr>
        <u/>
        <sz val="10"/>
        <color rgb="FF1155CC"/>
        <rFont val="Arial"/>
      </rPr>
      <t>10.9770/jssi.2018.8.1(1)</t>
    </r>
  </si>
  <si>
    <t>Profile of a lone wolf terrorist: A crisis management perspective</t>
  </si>
  <si>
    <t>Zeman</t>
  </si>
  <si>
    <t>Journal of Security and Sustainability Issues</t>
  </si>
  <si>
    <t>R11_S001</t>
  </si>
  <si>
    <t>R11</t>
  </si>
  <si>
    <t>Response of soil invertebrates to clearcutting and partial cutting in a boreal mixedwood forest in Northern Ontario</t>
  </si>
  <si>
    <t>Addison</t>
  </si>
  <si>
    <t>Info. Rep. GLC-X-1</t>
  </si>
  <si>
    <t>R11_S002</t>
  </si>
  <si>
    <t>The details of structure and development of ground beetle communities (Coleoptera, Carabidae) in annual felling areas in spruce forests...</t>
  </si>
  <si>
    <t>Antsiferov</t>
  </si>
  <si>
    <t>Euroasian Entomological Journal</t>
  </si>
  <si>
    <t>R11_S003</t>
  </si>
  <si>
    <r>
      <rPr>
        <u/>
        <sz val="10"/>
        <color rgb="FF1155CC"/>
        <rFont val="Arial"/>
      </rPr>
      <t>10.1139/x03-267</t>
    </r>
  </si>
  <si>
    <t>Short-term impact of forest soil compaction and organic matter removal on soil mesofauna density and oribatid mite diversity</t>
  </si>
  <si>
    <t>Battigelli</t>
  </si>
  <si>
    <t>Canadian Journal of Forest Research</t>
  </si>
  <si>
    <t>R11_S004</t>
  </si>
  <si>
    <r>
      <rPr>
        <u/>
        <sz val="10"/>
        <color rgb="FF1155CC"/>
        <rFont val="Arial"/>
      </rPr>
      <t>https://doi.org/10.1016/S1002-0160(15)60099-6</t>
    </r>
  </si>
  <si>
    <t>Recovery of Collembola in Pinus tabulaeformis plantations</t>
  </si>
  <si>
    <t>Pedosphere</t>
  </si>
  <si>
    <t>R11_S005</t>
  </si>
  <si>
    <r>
      <rPr>
        <u/>
        <sz val="12"/>
        <color rgb="FF1155CC"/>
        <rFont val="Arial"/>
        <scheme val="minor"/>
      </rPr>
      <t>10.1007/s00442-003-1310-8</t>
    </r>
  </si>
  <si>
    <t>Successional changes of Collembola and soil microbiota during forest rotation</t>
  </si>
  <si>
    <t>Chauvat</t>
  </si>
  <si>
    <t>Oecologia</t>
  </si>
  <si>
    <t>R11_S006</t>
  </si>
  <si>
    <r>
      <rPr>
        <u/>
        <sz val="10"/>
        <color rgb="FF1155CC"/>
        <rFont val="Arial"/>
      </rPr>
      <t>https://doi.org/10.1139/X06-310</t>
    </r>
  </si>
  <si>
    <t>Biodiversity and multiple disturbances: boreal forest ground beetle (Coleoptera: Carabidae) responses to wildfire, harvesting, and herbicide</t>
  </si>
  <si>
    <t>Cobb</t>
  </si>
  <si>
    <t>R11_S007</t>
  </si>
  <si>
    <r>
      <rPr>
        <u/>
        <sz val="10"/>
        <color rgb="FF1155CC"/>
        <rFont val="Arial"/>
      </rPr>
      <t>https://doi.org/10.1016/j.foreco.2018.11.023</t>
    </r>
  </si>
  <si>
    <t>The succession of soil Collembola communities in spruce forests of the High Tatra Mountains five years after a windthrow and clear-cut logging</t>
  </si>
  <si>
    <t>Čuchta</t>
  </si>
  <si>
    <t>Forest Ecology and Management</t>
  </si>
  <si>
    <t>R11_S008</t>
  </si>
  <si>
    <r>
      <rPr>
        <u/>
        <sz val="10"/>
        <color rgb="FF1155CC"/>
        <rFont val="Arial"/>
      </rPr>
      <t>https://doi.org/10.1016/j.biocon.2003.08.015</t>
    </r>
  </si>
  <si>
    <t>Effects of forest management on carabid beetles in Belgium: implications for biodiversity conservation</t>
  </si>
  <si>
    <t>de Warnaffe</t>
  </si>
  <si>
    <t>Biological Conservation</t>
  </si>
  <si>
    <t>R11_S009</t>
  </si>
  <si>
    <r>
      <rPr>
        <u/>
        <sz val="10"/>
        <color rgb="FF1155CC"/>
        <rFont val="Arial"/>
      </rPr>
      <t>https://doi.org/10.1016/j.foreco.2009.06.033</t>
    </r>
  </si>
  <si>
    <t>Effects of experimental forest harvesting on oribatid mite biodiversity</t>
  </si>
  <si>
    <t>Déchêne</t>
  </si>
  <si>
    <t>R11_S010</t>
  </si>
  <si>
    <t>10.1023/a:1005963508085</t>
  </si>
  <si>
    <t>Effects of clear-cutting and plant competition control methods on carabid (Coleoptera: Carabidae) assemblages in northwestern Ontario</t>
  </si>
  <si>
    <t>Duchesne</t>
  </si>
  <si>
    <t>Environmental Monitoring and Assessment</t>
  </si>
  <si>
    <t>R11_S011</t>
  </si>
  <si>
    <t>Influence of forest harvesting on soil organisms and decomposition in western Washington</t>
  </si>
  <si>
    <t>Edmonds</t>
  </si>
  <si>
    <t>Proc. California Forest Soils Council</t>
  </si>
  <si>
    <t>R11_S012</t>
  </si>
  <si>
    <r>
      <rPr>
        <u/>
        <sz val="12"/>
        <color rgb="FF1155CC"/>
        <rFont val="Arial"/>
        <scheme val="minor"/>
      </rPr>
      <t>10.1038/s41598-018-35159-z</t>
    </r>
  </si>
  <si>
    <t>Taxon-specific responses to different forestry treatments in a temperate forest</t>
  </si>
  <si>
    <t>Elek</t>
  </si>
  <si>
    <t>Scientific Reports</t>
  </si>
  <si>
    <t>R11_S013</t>
  </si>
  <si>
    <r>
      <rPr>
        <u/>
        <sz val="10"/>
        <color rgb="FF1155CC"/>
        <rFont val="Arial"/>
      </rPr>
      <t>https://doi.org/10.4141/S99-112</t>
    </r>
  </si>
  <si>
    <t>Trophic structure of nematode communities, microbial biomass, and nitrogen mineralization in soils of forests and clearcuts...</t>
  </si>
  <si>
    <t>Forge</t>
  </si>
  <si>
    <t>Canadian Journal of Soil Science</t>
  </si>
  <si>
    <t>R11_S014</t>
  </si>
  <si>
    <r>
      <rPr>
        <u/>
        <sz val="10"/>
        <color rgb="FF1155CC"/>
        <rFont val="Arial"/>
      </rPr>
      <t>https://doi.org/10.1016/j.soilbio.2015.02.007</t>
    </r>
  </si>
  <si>
    <t>Application of body size spectra to nematode trait-index analyses</t>
  </si>
  <si>
    <t>Soil Biology and Biochemistry</t>
  </si>
  <si>
    <t>R11_S015</t>
  </si>
  <si>
    <t>https://doi.org/10.1016/j.foreco.2007.09.083</t>
  </si>
  <si>
    <t>Responses of litter-dwelling spiders and carabid beetles to varying levels and patterns of green-tree retention</t>
  </si>
  <si>
    <t>Halaj</t>
  </si>
  <si>
    <t>R11_S016</t>
  </si>
  <si>
    <t>https://doi.org/10.1016/j.foreco.2004.07.027</t>
  </si>
  <si>
    <t>Response of soil nematodes inhabiting spruce forests in the Šumava Mountains to disturbance by bark beetles and clear-cutting</t>
  </si>
  <si>
    <t>Háněl</t>
  </si>
  <si>
    <t>R11_S017</t>
  </si>
  <si>
    <t>https://doi.org/10.1016/j.pedobi.2005.12.003</t>
  </si>
  <si>
    <t>Collembolan community dynamics during deciduous forests regeneration in Japan</t>
  </si>
  <si>
    <t>Hasegawa</t>
  </si>
  <si>
    <t>Pedobiologia</t>
  </si>
  <si>
    <t>R11_S018</t>
  </si>
  <si>
    <t>https://doi.org/10.1016/j.foreco.2003.09.002</t>
  </si>
  <si>
    <t>Recovery of decomposition and soil microarthropod communities in an Appalachian watershed two decades after a clearcut</t>
  </si>
  <si>
    <t>Heneghan</t>
  </si>
  <si>
    <t>R11_S019</t>
  </si>
  <si>
    <t>https://doi.org/10.1016/j.foreco.2015.09.041</t>
  </si>
  <si>
    <t>Long-term effects of clear-cutting on epigaeic beetle assemblages in boreal forests</t>
  </si>
  <si>
    <t>Johansson</t>
  </si>
  <si>
    <t>R11_S020</t>
  </si>
  <si>
    <t>https://doi.org/10.1080/02827581.2011.560183</t>
  </si>
  <si>
    <t>Effects of stump removal on soil decomposer communities in undisturbed patches of the forest floor</t>
  </si>
  <si>
    <t>Kataja-Aho</t>
  </si>
  <si>
    <t>Scandinavian Journal of Forest Research</t>
  </si>
  <si>
    <t>R11_S021</t>
  </si>
  <si>
    <t>https://doi.org/10.1016/j.foreco.2011.04.002</t>
  </si>
  <si>
    <t>Short-term responses of soil decomposer and plant communities to stump harvesting in boreal forests</t>
  </si>
  <si>
    <t>Kataja-aho</t>
  </si>
  <si>
    <t>R11_S022</t>
  </si>
  <si>
    <t>https://doi.org/10.1016/j.foreco.2016.01.025</t>
  </si>
  <si>
    <t>The arthropod community of boreal Norway spruce forests responds variably to stump harvesting</t>
  </si>
  <si>
    <t>R11_S023</t>
  </si>
  <si>
    <t>https://doi.org/10.1139/x05-170</t>
  </si>
  <si>
    <t>The effects of patch harvesting and site preparation on ground beetles (Coleoptera, Carabidae) in yellow birch dominated forests...</t>
  </si>
  <si>
    <t>Klimaszewski</t>
  </si>
  <si>
    <t>R11_S024</t>
  </si>
  <si>
    <t>https://doi.org/10.1016/j.foreco.2018.12.047</t>
  </si>
  <si>
    <t>Responses of boreal ground beetles (Coleoptera, Carabidae) to different logging regimes ten years post harvest</t>
  </si>
  <si>
    <t>Koivula</t>
  </si>
  <si>
    <t>R11_S025</t>
  </si>
  <si>
    <t>https://doi.org/10.1139/x05-169</t>
  </si>
  <si>
    <t>Effects of a recent wildfire and clearcuts on ground-dwelling boreal forest spider assemblages</t>
  </si>
  <si>
    <t>Larrivée</t>
  </si>
  <si>
    <t>R11_S026</t>
  </si>
  <si>
    <t>https://doi.org/10.1139/x03-284</t>
  </si>
  <si>
    <t>Forest floor microarthropod abundance and oribatid mite (Acari: Oribatida) composition following partial and clear-cut harvesting...</t>
  </si>
  <si>
    <t>Lindo</t>
  </si>
  <si>
    <t>R11_S027</t>
  </si>
  <si>
    <t>10.2307/2403132</t>
  </si>
  <si>
    <t>Effects of clear-cutting on the enchytraeids in a Scots pine forest soil in central Sweden</t>
  </si>
  <si>
    <t>Lundkvist</t>
  </si>
  <si>
    <t>Journal of Applied Ecology</t>
  </si>
  <si>
    <t>R11_S028</t>
  </si>
  <si>
    <t>https://doi.org/10.1603/en11298</t>
  </si>
  <si>
    <t>Effects of reforestation practices on staphylinid beetles (Coleoptera: Staphylinidae) in southwestern China forests</t>
  </si>
  <si>
    <t>Luo</t>
  </si>
  <si>
    <t>Environmental Entomology</t>
  </si>
  <si>
    <t>R11_S029</t>
  </si>
  <si>
    <t>https://doi.org/10.1023/A:1021289509500</t>
  </si>
  <si>
    <t>Diversity and composition of carabids during a forestry cycle</t>
  </si>
  <si>
    <t>Magura</t>
  </si>
  <si>
    <t>Biodiversity &amp; Conservation</t>
  </si>
  <si>
    <t>R11_S030</t>
  </si>
  <si>
    <t>https://doi.org/10.1016/j.apsoil.2009.06.002</t>
  </si>
  <si>
    <t>Dynamics of soil meso-and macrofauna during a 5-year period after clear-cut burning in a boreal forest</t>
  </si>
  <si>
    <t>Malmström</t>
  </si>
  <si>
    <t>Applied Soil Ecology</t>
  </si>
  <si>
    <t>R11_S031</t>
  </si>
  <si>
    <t>10.1111/j.2006.0906-7590.04562.x</t>
  </si>
  <si>
    <t>The effects of green tree retention and subsequent prescribed burning on ground beetles (Coleoptera: Carabidae)...</t>
  </si>
  <si>
    <t>Martikainen</t>
  </si>
  <si>
    <t>Ecography</t>
  </si>
  <si>
    <t>R11_S032</t>
  </si>
  <si>
    <t>https://doi.org/10.4141/S01-017</t>
  </si>
  <si>
    <t>Effects of two silvicultural practices on soil fauna abundance in a northern hardwood forest, Québec, Canada</t>
  </si>
  <si>
    <t>R11_S033</t>
  </si>
  <si>
    <t>https://doi.org/10.60910/54ex-gz7v</t>
  </si>
  <si>
    <t>Are spruce boles hot spots for enchytraeids in clear-cut areas?</t>
  </si>
  <si>
    <t>Nieminen</t>
  </si>
  <si>
    <t>Boreal Environment Research</t>
  </si>
  <si>
    <t>R11_S034</t>
  </si>
  <si>
    <t>https://doi.org/10.1016/j.foreco.2011.10.045</t>
  </si>
  <si>
    <t>Responses of ground-dwelling spiders (Araneae) to variable retention harvesting practices in the boreal forest</t>
  </si>
  <si>
    <t>Pinzon</t>
  </si>
  <si>
    <t>R11_S035</t>
  </si>
  <si>
    <r>
      <rPr>
        <u/>
        <sz val="10"/>
        <color rgb="FF1155CC"/>
        <rFont val="Arial"/>
      </rPr>
      <t>10.1007/s10531-013-0489-1</t>
    </r>
  </si>
  <si>
    <t>Effects of prescribed burning and harvesting on ground-dwelling spiders in the Canadian boreal mixedwood forest</t>
  </si>
  <si>
    <t>Biodiversity and Conservation</t>
  </si>
  <si>
    <t>R11_S036</t>
  </si>
  <si>
    <t>https://doi.org/10.1016/j.biocon.2007.02.011</t>
  </si>
  <si>
    <t>Rove beetles and ground beetles (Coleoptera: Staphylinidae, Carabidae) as indicators of harvest and regeneration practices...</t>
  </si>
  <si>
    <t>Pohl</t>
  </si>
  <si>
    <t>R11_S037</t>
  </si>
  <si>
    <t>https://doi.org/10.1078/S0031-4056(04)70079-7</t>
  </si>
  <si>
    <t>The impact of clearcutting and partial harvesting systems on population dynamics of soil nematodes in coastal Douglas-fir forests</t>
  </si>
  <si>
    <t>Panesar</t>
  </si>
  <si>
    <t>R11_S038</t>
  </si>
  <si>
    <t>https://doi.org/10.1016/j.soilbio.2019.02.021</t>
  </si>
  <si>
    <t>Woody biomass removal in harvested boreal forest leads to a partial functional homogenization of soil mesofaunal communities...</t>
  </si>
  <si>
    <t>Rousseau</t>
  </si>
  <si>
    <t>R11_S039</t>
  </si>
  <si>
    <t>https://doi.org/10.1016/j.foreco.2005.03.001</t>
  </si>
  <si>
    <t>Short-term response of ground beetles (Coleoptera: Carabidae) to fire and logging in a spruce-dominated boreal landscape</t>
  </si>
  <si>
    <t>Saint-Germain</t>
  </si>
  <si>
    <t>R11_S040</t>
  </si>
  <si>
    <t>https://doi.org/10.2307/1936676</t>
  </si>
  <si>
    <t>Microarthropod response following cable logging and clear-cutting in the southern Appalachians</t>
  </si>
  <si>
    <t>Seastedt</t>
  </si>
  <si>
    <t>Ecology</t>
  </si>
  <si>
    <t>R11_S041</t>
  </si>
  <si>
    <t>https://doi.org/10.1139/x00-148</t>
  </si>
  <si>
    <t>Short-term responses of soil decomposer communities to forest management: clear felling versus alternative forest harvesting methods</t>
  </si>
  <si>
    <t>Siira-Pietikäinen</t>
  </si>
  <si>
    <t>R11_S042</t>
  </si>
  <si>
    <t>Does alternative methods of oak plantations establishment create favourable conditions for forest collembolan assemblages...</t>
  </si>
  <si>
    <t>Sławska</t>
  </si>
  <si>
    <t>Sylwan</t>
  </si>
  <si>
    <t>R11_S043</t>
  </si>
  <si>
    <t>https://doi.org/10.2307/2403472</t>
  </si>
  <si>
    <t>Short-term influence of clear-cutting on abundance of soil-microfauna (Nematoda, Rotatoria and Tardigrada) in a Swedish pine forest soil</t>
  </si>
  <si>
    <t>Sohlenius</t>
  </si>
  <si>
    <t>R11_S044</t>
  </si>
  <si>
    <t>https://doi.org/10.1016/S0929-1393(02)00003-3</t>
  </si>
  <si>
    <t>Influence of clear-cutting and forest age on the nematode fauna in a Swedish pine forest soil</t>
  </si>
  <si>
    <t>R11_S045</t>
  </si>
  <si>
    <t>https://doi.org/10.1016/j.apsoil.2013.11.010</t>
  </si>
  <si>
    <t>Effect of hydrologic regime and forest age on Collembola in riparian forests</t>
  </si>
  <si>
    <t>Sterzyńska</t>
  </si>
  <si>
    <t>R11_S046</t>
  </si>
  <si>
    <t>https://doi.org/10.1016/j.foreco.2013.11.028</t>
  </si>
  <si>
    <t>Emulating natural disturbances in boreal Norway spruce forests: effects on ground beetles (Coleoptera, Carabidae)</t>
  </si>
  <si>
    <t>Toivanen</t>
  </si>
  <si>
    <t>R11_S047</t>
  </si>
  <si>
    <t>https://doi.org/10.1007/978-1-4020-5204-0_16</t>
  </si>
  <si>
    <t>The response of ground beetles (Coleoptera: Carabidae) to selection cutting in a South Carolina bottomland hardwood forest</t>
  </si>
  <si>
    <t>Ulyshen</t>
  </si>
  <si>
    <t>R11_S048</t>
  </si>
  <si>
    <t>https://doi.org/10.1111/1365-2664.13687</t>
  </si>
  <si>
    <t>Recovery of a boreal ground-beetle (Coleoptera: Carabidae) fauna 15 years after variable retention harvest</t>
  </si>
  <si>
    <t>Wu</t>
  </si>
  <si>
    <t>R11_S049</t>
  </si>
  <si>
    <t>https://doi.org/10.1111/j.1744-7917.2006.00075.x</t>
  </si>
  <si>
    <t>Distribution of ground-dwelling beetles (Coleoptera) across a forest-clearcut ecotone in Wolong Natural Reserve, southwestern China</t>
  </si>
  <si>
    <t>Insect Science</t>
  </si>
  <si>
    <t>R11_S050</t>
  </si>
  <si>
    <t>https://doi.org/10.1016/j.foreco.2008.01.019</t>
  </si>
  <si>
    <t>Distribution of carabid beetles among 40-year-old regenerating plantations and 100-year-old naturally regenerated forests...</t>
  </si>
  <si>
    <t>R11_S051</t>
  </si>
  <si>
    <t>https://doi.org/10.1016/S0038-0717(02)00208-0</t>
  </si>
  <si>
    <t>Oribatid mite diversity and community dynamics in a spruce chronosequence</t>
  </si>
  <si>
    <t>Zaitsev</t>
  </si>
  <si>
    <t>R12_S001</t>
  </si>
  <si>
    <t>R12</t>
  </si>
  <si>
    <t>https://doi.org/10.1016/j.catena.2015.04.012</t>
  </si>
  <si>
    <t>Response of soil enzyme activity to long-term restoration of desertified land</t>
  </si>
  <si>
    <t>Zhang</t>
  </si>
  <si>
    <t>Catena</t>
  </si>
  <si>
    <t>R12_S002</t>
  </si>
  <si>
    <t>https://doi.org/10.1016/j.biocon.2014.09.011</t>
  </si>
  <si>
    <t>Effects of habitat alteration on lizard community and food web structure in a desert steppe ecosystem</t>
  </si>
  <si>
    <t>Zeng</t>
  </si>
  <si>
    <t>Biol. Conserv.</t>
  </si>
  <si>
    <t>R12_S003</t>
  </si>
  <si>
    <t>https://doi.org/10.1016/j.ecoleng.2014.09.092</t>
  </si>
  <si>
    <t>Effect of naturally vs manually managed restoration on ground-dwelling arthropod communities in a desertified region</t>
  </si>
  <si>
    <t>Liu</t>
  </si>
  <si>
    <t>Ecol. Engineer.</t>
  </si>
  <si>
    <t>R12_S004</t>
  </si>
  <si>
    <t>https://doi.org/10.1111/j.1526-100X.2005.00037.x</t>
  </si>
  <si>
    <t>Establishing Native Grasses in a Big Sagebrush Dominated Site: An Intermediate Restoration Step</t>
  </si>
  <si>
    <t>Huber-Sannwald</t>
  </si>
  <si>
    <t>Restor Ecol.</t>
  </si>
  <si>
    <t>R12_S005</t>
  </si>
  <si>
    <t>https://doi.org/10.1111/j.1061-2971.2004.00009.x</t>
  </si>
  <si>
    <t>Spacing and Competition Between Planted Grass Plugs and Preexisting Perennial Grasses in a Restoration Site in Oregon</t>
  </si>
  <si>
    <t>Huddleston</t>
  </si>
  <si>
    <t>Restor Ecol</t>
  </si>
  <si>
    <t>R12_S006</t>
  </si>
  <si>
    <t>https://doi.org/10.1016/S0301-4797(03)00107-5</t>
  </si>
  <si>
    <t>Rapid vegetation regeneration in a seriously degraded Rhanterium epapposum community in northern Kuwait after 4 years of protection</t>
  </si>
  <si>
    <t>Browna</t>
  </si>
  <si>
    <t>J. Environ. Manag.</t>
  </si>
  <si>
    <t>R12_S007</t>
  </si>
  <si>
    <t>https://doi.org/10.1016/j.catena.2014.03.006</t>
  </si>
  <si>
    <t>The response of soil organic carbon and nitrogen 10 years after returning cultivated alpine steppe to grassland by abandonment or reseeding</t>
  </si>
  <si>
    <t>Shang</t>
  </si>
  <si>
    <t>R12_S008</t>
  </si>
  <si>
    <t>https://doi.org/10.1016/S0929-1393(02)00136-1</t>
  </si>
  <si>
    <t>Establishment of shrub species in a degraded semiarid site after inoculation with native or allochthonous arbuscular mycorrhizal fungi</t>
  </si>
  <si>
    <t>Caravaca</t>
  </si>
  <si>
    <t>App. Soil Ecol.</t>
  </si>
  <si>
    <t>R12_S009</t>
  </si>
  <si>
    <t>https://doi.org/10.3368/er.9.2.71</t>
  </si>
  <si>
    <t>Desert Restoration</t>
  </si>
  <si>
    <t>Jackson</t>
  </si>
  <si>
    <t>Restor. Manag. Notes</t>
  </si>
  <si>
    <t>R12_S010</t>
  </si>
  <si>
    <t>https://doi.org/10.1016/j.scitotenv.2015.09.108</t>
  </si>
  <si>
    <t>Effects of legume species introduction on vegetation and soil nutrient development on abandoned croplands in a semi-arid environment on the Loess Plateau, China</t>
  </si>
  <si>
    <t>Yuan</t>
  </si>
  <si>
    <t>Sc. Total Environ.</t>
  </si>
  <si>
    <t>R12_S011</t>
  </si>
  <si>
    <t>https://doi.org/10.1111/j.1526-100X.2006.00142.x</t>
  </si>
  <si>
    <t>Native Plant Regeneration on Abandoned Desert Farmland: Effects of Irrigation, Soil Preparation, and Amendments on Seedling Establishment</t>
  </si>
  <si>
    <t>Banerjee</t>
  </si>
  <si>
    <t>Restor. Ecol.</t>
  </si>
  <si>
    <t>R12_S012</t>
  </si>
  <si>
    <t>https://doi.org/10.1016/j.scitotenv.2017.08.018</t>
  </si>
  <si>
    <t>The effect of grazing exclusion over time on structure, biodiversity, and regeneration of high nature value farmland ecosystems in Europe</t>
  </si>
  <si>
    <t>Listopad</t>
  </si>
  <si>
    <t>Sc.Total Environ.</t>
  </si>
  <si>
    <t>R12_S013</t>
  </si>
  <si>
    <t>https://doi.org/10.1111/grs.12113</t>
  </si>
  <si>
    <t>Response of degraded vegetation to introduction of prescribed burning or mowing management in a Mongolian steppe</t>
  </si>
  <si>
    <t>Koyama</t>
  </si>
  <si>
    <t>Grassland Science</t>
  </si>
  <si>
    <t>R12_S014</t>
  </si>
  <si>
    <t>https://doi.org/10.1016/j.ecoleng.2015.03.012</t>
  </si>
  <si>
    <t>Factors affecting the recovery of abandoned semi-arid fields after legume introduction on the Loess Plateau</t>
  </si>
  <si>
    <t>R12_S015</t>
  </si>
  <si>
    <t>https://doi.org/10.1016/j.jaridenv.2016.03.008</t>
  </si>
  <si>
    <t>Factors limiting vegetation recovery processes after cessation of cropping in a semiarid grassland in Mongolia</t>
  </si>
  <si>
    <t>Yanagawa</t>
  </si>
  <si>
    <t>J. Arid Environ.</t>
  </si>
  <si>
    <t>R12_S016</t>
  </si>
  <si>
    <t>https://doi.org/10.1111/rec.12201</t>
  </si>
  <si>
    <t>Managing contingency in semiarid grassland restoration through repeated planting</t>
  </si>
  <si>
    <t>Restor. Ecol</t>
  </si>
  <si>
    <t>R12_S017</t>
  </si>
  <si>
    <t>https://doi.org/10.1111/j.1526-100X.2011.00808.x</t>
  </si>
  <si>
    <t>Plant Community Recovery Following Restoration in Semiarid Grasslands</t>
  </si>
  <si>
    <t>Munson</t>
  </si>
  <si>
    <t>R12_S018</t>
  </si>
  <si>
    <t>https://doi.org/10.1111/j.1526-100X.2009.00594.x</t>
  </si>
  <si>
    <t>Short-Term and Long-Term Effects of Soil Ripping, Seeding, and Fertilization on the Restoration of a Tropical Rangeland</t>
  </si>
  <si>
    <t>Kinyua</t>
  </si>
  <si>
    <t>R12_S019</t>
  </si>
  <si>
    <t>https://doi.org/10.1111/j.1526-100X.2009.00595.x</t>
  </si>
  <si>
    <t>The Influence of Historical Land Use and Water Availability on Grassland Restoration</t>
  </si>
  <si>
    <t>R12_S020</t>
  </si>
  <si>
    <t>https://doi.org/10.1016/j.jaridenv.2008.04.007</t>
  </si>
  <si>
    <t>Restoration of palatable grasses: A study case in degraded rangelands of central Argentina</t>
  </si>
  <si>
    <t>Distel</t>
  </si>
  <si>
    <t>J. Arid Envirnon.</t>
  </si>
  <si>
    <t>R12_S021</t>
  </si>
  <si>
    <t>https://doi.org/10.1890/02-5296</t>
  </si>
  <si>
    <t>Semiarid old-field restoration: is neighbor control needed?</t>
  </si>
  <si>
    <t>Ecol. Appl.</t>
  </si>
  <si>
    <t>R12_S022</t>
  </si>
  <si>
    <t>https://doi.org/10.1007/s40333-018-0411-5</t>
  </si>
  <si>
    <t>Grazing exclusion-induced shifts, the relative importance of environmental filtering, biotic interactions and dispersal limitation in shaping desert steppe communities, northern China</t>
  </si>
  <si>
    <t>Xing</t>
  </si>
  <si>
    <t>J. Arid Land</t>
  </si>
  <si>
    <t>R12_S023</t>
  </si>
  <si>
    <t>https://doi.org/10.1071/RJ17027</t>
  </si>
  <si>
    <t>Long-term revegetation success of severely degraded chenopod shrublands</t>
  </si>
  <si>
    <t>Haby</t>
  </si>
  <si>
    <t>The Rang. Journal</t>
  </si>
  <si>
    <t>R12_S024</t>
  </si>
  <si>
    <t>https://doi.org/10.1016/j.ecolind.2016.02.019</t>
  </si>
  <si>
    <t>Indicators of landscape organization and functionality in semi-arid former agricultural lands under a passive restoration management over two periods of abandonment</t>
  </si>
  <si>
    <t>Tabeni</t>
  </si>
  <si>
    <t>Ecol. Indicators</t>
  </si>
  <si>
    <t>R12_S025</t>
  </si>
  <si>
    <t>https://doi.org/10.1016/j.agee.2013.11.026</t>
  </si>
  <si>
    <t>Arid old-field restoration: Native perennial grasses suppress weedsand erosion, but also suppress native shrubs</t>
  </si>
  <si>
    <t>Porensky</t>
  </si>
  <si>
    <t>Agr. Ecos. Environ.</t>
  </si>
  <si>
    <t>R12_S026</t>
  </si>
  <si>
    <t>https://doi.org/10.1007/s40333-013-0207-6</t>
  </si>
  <si>
    <t>Effects of fencing on vegetation and soil restoration in a degraded alkaline grassland in northeast China</t>
  </si>
  <si>
    <t>R12_S027</t>
  </si>
  <si>
    <t>https://doi.org/10.1007/s00267-013-0176-8</t>
  </si>
  <si>
    <t>Assessing Degradation of Abandoned Farmlands for Conservation of the Monte Desert Biome in Argentina</t>
  </si>
  <si>
    <t>Yannelli</t>
  </si>
  <si>
    <t>Environ. Manag.</t>
  </si>
  <si>
    <t>R12_S028</t>
  </si>
  <si>
    <t>https://doi.org/10.1111/1365-2664.12220</t>
  </si>
  <si>
    <t>Long-term outcome of nitrogen immobilization to restore endemic sand grassland in Hungary</t>
  </si>
  <si>
    <t>Torok</t>
  </si>
  <si>
    <t>J. App. Ecol.</t>
  </si>
  <si>
    <t>R12_S029</t>
  </si>
  <si>
    <t>https://doi.org/10.1016/j.jaridenv.2012.09.008</t>
  </si>
  <si>
    <t>Role of nurse shrubs in restoration of an arid rangeland: Effects of microclimate on grass establishment</t>
  </si>
  <si>
    <t>Jankju</t>
  </si>
  <si>
    <t>J. Arid. Environ.</t>
  </si>
  <si>
    <t>R12_S030</t>
  </si>
  <si>
    <t>https://doi.org/10.1016/j.baae.2011.11.005</t>
  </si>
  <si>
    <t>Plant volatiles inhibit restoration of plant species communities in dry grassland</t>
  </si>
  <si>
    <t>Tsuboa</t>
  </si>
  <si>
    <t>Basic App. Ecol</t>
  </si>
  <si>
    <t>R12_S031</t>
  </si>
  <si>
    <t>https://doi.org/10.1007/s12665-010-0577-4</t>
  </si>
  <si>
    <t>Changes in soil physico-chemical and microbiological properties during natural succession on abandoned farmland in the Loess Plateau</t>
  </si>
  <si>
    <t>Environ. Earth Sc.</t>
  </si>
  <si>
    <t>R12_S032</t>
  </si>
  <si>
    <t>https://doi.org/10.1111/j.1654-109X.2009.01048.x</t>
  </si>
  <si>
    <t>Vegetation restoration of secondary bare saline-alkali patches in the Songnen plain, China</t>
  </si>
  <si>
    <t>App. Veg. Sc</t>
  </si>
  <si>
    <t>R12_S033</t>
  </si>
  <si>
    <t>https://doi.org/10.1016/j.jaridenv.2008.12.002</t>
  </si>
  <si>
    <t>The effects of exclosures in restoring degraded semi-arid vegetation in communal grazing lands in northern Ethiopia</t>
  </si>
  <si>
    <t>Yayneshet</t>
  </si>
  <si>
    <t>R12_S034</t>
  </si>
  <si>
    <t>https://doi.org/10.1007/s00572-007-0143-4</t>
  </si>
  <si>
    <t>Differences of arbuscular mycorrhizal fungal diversity and community between a cultivated land, an old field, and a never-cultivated field in a hot and arid of southwest China ecosystem</t>
  </si>
  <si>
    <t>Mycorrhiza</t>
  </si>
  <si>
    <t>R12_S035</t>
  </si>
  <si>
    <t>https://doi.org/10.1046/j.1526-100X.2003.00222.x</t>
  </si>
  <si>
    <t>The Importance of Phytogenic Mounds (Nebkhas) for Restoration of Arid Degraded Rangelands in Northern Sinai</t>
  </si>
  <si>
    <t>El-Bana</t>
  </si>
  <si>
    <t>R12_S036</t>
  </si>
  <si>
    <t>https://doi.org/10.1046/j.1526-100X.2003.00192.x</t>
  </si>
  <si>
    <t>Evaluation of Restoration Techniques for the Succulent Karoo, South Africa</t>
  </si>
  <si>
    <t>Beukes</t>
  </si>
  <si>
    <t>R12_S037</t>
  </si>
  <si>
    <t>https://doi.org/10.1111/rec.12961</t>
  </si>
  <si>
    <t>Direct seeding and outplantings in drylands of Argentinean Patagonia: estimated costs, and prospects for large-scale restoration and rehabilitation</t>
  </si>
  <si>
    <t>Pérez</t>
  </si>
  <si>
    <t>R12_S038</t>
  </si>
  <si>
    <t>https://doi.org/10.3390/su11071941</t>
  </si>
  <si>
    <t>Grazing Exclusion, a Choice between Biomass Growth and Species Diversity Maintenance in Beijing-Tianjin Sand Source Control Project</t>
  </si>
  <si>
    <t>Sustainability</t>
  </si>
  <si>
    <t>R12_S039</t>
  </si>
  <si>
    <t>https://doi.org/10.1016/j.scitotenv.2019.133613</t>
  </si>
  <si>
    <t>Dynamics of soil microbial C:N:P stoichiometry and its driving mechanisms following natural vegetation restoration after farmland abandonment</t>
  </si>
  <si>
    <t>R12_S040</t>
  </si>
  <si>
    <t>https://doi.org/10.1002/ldr.3387</t>
  </si>
  <si>
    <t>Recovery of organic matter and microbial biomass after abandonment of degraded agricultural soils: the influence of climate</t>
  </si>
  <si>
    <t>Ovsepyan</t>
  </si>
  <si>
    <t>L Degr. Develop.</t>
  </si>
  <si>
    <t>R12_S041</t>
  </si>
  <si>
    <t>https://doi.org/10.1007/s40333-019-0008-7</t>
  </si>
  <si>
    <t>Conversion of cropland into agroforestry land versus naturally-restored grassland alters soil macro-faunal diversity and trophic structure in the semi-arid agro-pasture zone of northern China</t>
  </si>
  <si>
    <t>Rentao</t>
  </si>
  <si>
    <t>R12_S042</t>
  </si>
  <si>
    <t>https://doi.org/10.1002/ece3.4958</t>
  </si>
  <si>
    <t>Effects of different fencing regimes on community structure of degraded desert grasslands on Mu Us desert, China</t>
  </si>
  <si>
    <t>Ecol. Evol.</t>
  </si>
  <si>
    <r>
      <rPr>
        <u/>
        <sz val="10"/>
        <color rgb="FF1155CC"/>
        <rFont val="Arial"/>
      </rPr>
      <t>10.1016/j.ijnurstu.2019.103407</t>
    </r>
  </si>
  <si>
    <r>
      <rPr>
        <u/>
        <sz val="10"/>
        <color rgb="FF1155CC"/>
        <rFont val="Arial"/>
      </rPr>
      <t>10.1001/jamapsychiatry.2018.3048</t>
    </r>
  </si>
  <si>
    <r>
      <rPr>
        <u/>
        <sz val="10"/>
        <color rgb="FF1155CC"/>
        <rFont val="&quot;Open Sans&quot;, sans-serif"/>
      </rPr>
      <t>https://doi.org/10.1080/03601277.2012.701157</t>
    </r>
  </si>
  <si>
    <r>
      <rPr>
        <u/>
        <sz val="10"/>
        <color rgb="FF1155CC"/>
        <rFont val="Arial"/>
      </rPr>
      <t>10.22038/JMRH.2019.44596.1535</t>
    </r>
  </si>
  <si>
    <r>
      <rPr>
        <u/>
        <sz val="10"/>
        <color rgb="FF1155CC"/>
        <rFont val="Arial"/>
        <scheme val="minor"/>
      </rPr>
      <t>10.1007/s11121-017-0822-0</t>
    </r>
  </si>
  <si>
    <r>
      <rPr>
        <u/>
        <sz val="10"/>
        <color rgb="FF1155CC"/>
        <rFont val="&quot;Open Sans&quot;, sans-serif"/>
      </rPr>
      <t>https://doi.org/10.1080/01443410.2021.1922611</t>
    </r>
  </si>
  <si>
    <r>
      <rPr>
        <u/>
        <sz val="10"/>
        <color rgb="FF1155CC"/>
        <rFont val="Arial"/>
      </rPr>
      <t>10.2147/DMSO.S290029</t>
    </r>
  </si>
  <si>
    <r>
      <rPr>
        <u/>
        <sz val="10"/>
        <color rgb="FF1155CC"/>
        <rFont val="Arial"/>
      </rPr>
      <t>10.1016/S2214-109X(20)30469-1</t>
    </r>
  </si>
  <si>
    <t>R02_S001</t>
  </si>
  <si>
    <t>R02</t>
  </si>
  <si>
    <t>https://doi.org/10.2215/cjn.07020714</t>
  </si>
  <si>
    <t>Randomized trial of valganciclovir versus valacyclovir prophylaxis for prevention of cytomegalovirus in renal transplantation</t>
  </si>
  <si>
    <t>Reischig</t>
  </si>
  <si>
    <t>Clinical Journal of the American Society of Nephrology</t>
  </si>
  <si>
    <t>R02_S002</t>
  </si>
  <si>
    <t>https://doi.org/10.1111/j.1399-0012.1997.tb01057.x</t>
  </si>
  <si>
    <t>Efficacy of oral ganciclovir in prevention of cytomegalovirus infection in post-kidney transplant patients</t>
  </si>
  <si>
    <t>Ahsan</t>
  </si>
  <si>
    <t>Clinical Transplantation</t>
  </si>
  <si>
    <t>R02_S003</t>
  </si>
  <si>
    <t>https://doi.org/10.1016/j.ekir.2020.02.341</t>
  </si>
  <si>
    <t>Three-year follow up of cytomegalovirus prophylaxis regimens in renal transplant recipients as an economy-saving strategy: a comparative study</t>
  </si>
  <si>
    <t>Ali Ibrahim</t>
  </si>
  <si>
    <t>Kidney International Reports</t>
  </si>
  <si>
    <t>R02_S004</t>
  </si>
  <si>
    <t>https://doi.org/10.1097/00007890-199707150-00013</t>
  </si>
  <si>
    <t>Prophylaxis of cytomegalovirus infection in liver transplantation: a randomized trial comparing a combination of ganciclovir and acyclovir to acyclovir</t>
  </si>
  <si>
    <t>Badley</t>
  </si>
  <si>
    <t>Transplantation</t>
  </si>
  <si>
    <t>R02_S005</t>
  </si>
  <si>
    <t>https://doi.org/10.1056/nejm198905253202105</t>
  </si>
  <si>
    <t>A randomized, placebo-controlled trial of oral acyclovir for the prevention of cytomegalovirus disease in recipients of renal allografts</t>
  </si>
  <si>
    <t>Balfour</t>
  </si>
  <si>
    <t>R02_S006</t>
  </si>
  <si>
    <t>https://doi.org/10.1034/j.1399-3062.1999.010202.x</t>
  </si>
  <si>
    <t>High-dose acyclovir prophylaxis reduces cytomegalovirus disease in liver transplant patients</t>
  </si>
  <si>
    <t>Barkholt</t>
  </si>
  <si>
    <t>Transplant Infectious Disease</t>
  </si>
  <si>
    <t>R02_S007</t>
  </si>
  <si>
    <t>https://doi.org/10.1097/00007890-199712270-00036</t>
  </si>
  <si>
    <t>Prophylactic oral ganciclovir compared with deferred therapy for control of cytomegalovirus in renal transplant recipients</t>
  </si>
  <si>
    <t>Brennan</t>
  </si>
  <si>
    <t>R02_S008</t>
  </si>
  <si>
    <t>https://doi.org/10.1002/jmv.1890400103</t>
  </si>
  <si>
    <t>Controlled trial of prophylactic versus therapeutic use of ganciclovir after liver transplantation in adults</t>
  </si>
  <si>
    <t>Cohen</t>
  </si>
  <si>
    <t>Journal of Medical Virology</t>
  </si>
  <si>
    <t>R02_S009</t>
  </si>
  <si>
    <t>https://doi.org/10.1001/archsurg.1995.01430110075014</t>
  </si>
  <si>
    <t>Preemptive ganciclovir therapy in cytomegalovirus-seropositive renal transplants recipients</t>
  </si>
  <si>
    <t>Conti</t>
  </si>
  <si>
    <t>Archives of Surgery</t>
  </si>
  <si>
    <t>R02_S010</t>
  </si>
  <si>
    <t>https://doi.org/10.1164/ajrccm.150.1.8025741</t>
  </si>
  <si>
    <t>A comparison of ganciclovir and acyclovir to prevent cytomegalovirus after lung transplantation</t>
  </si>
  <si>
    <t>Duncan</t>
  </si>
  <si>
    <t>American Journal of Respiratory &amp; Critical Care Medicine</t>
  </si>
  <si>
    <t>R02_S011</t>
  </si>
  <si>
    <t>https://doi.org/10.1016/s1053-2498(01)00399-0</t>
  </si>
  <si>
    <t>Valacyclovir prevention of cytomegalovirus reactivation after heart transplantation: a randomized trial</t>
  </si>
  <si>
    <t>Egan</t>
  </si>
  <si>
    <t>Journal of Heart &amp; Lung Transplantation</t>
  </si>
  <si>
    <t>R02_S012</t>
  </si>
  <si>
    <t>https://doi.org/10.1097/00007890-199812270-00019</t>
  </si>
  <si>
    <t>A randomized prospective controlled trial of oral acyclovir versus oral ganciclovir for cytomegalovirus prophylaxis in high-risk kidney transplant recipients</t>
  </si>
  <si>
    <t>Flechner</t>
  </si>
  <si>
    <t>R02_S013</t>
  </si>
  <si>
    <t>https://doi.org/10.1016/s0140-6736(97)05535-9</t>
  </si>
  <si>
    <t>Randomised trial of efficacy and safety of oral ganciclovir in the prevention of cytomegalovirus disease in liver-transplant recipients</t>
  </si>
  <si>
    <t>Gane</t>
  </si>
  <si>
    <t>R02_S014</t>
  </si>
  <si>
    <t>https://doi.org/10.1007/s001470050087</t>
  </si>
  <si>
    <t>Two grams daily of oral acyclovir reduces the incidence of cytomegalovirus disease in CMV-seropositive liver transplant recipients</t>
  </si>
  <si>
    <t>Gavalda</t>
  </si>
  <si>
    <t>Transplant International</t>
  </si>
  <si>
    <t>R02_S015</t>
  </si>
  <si>
    <t>https://doi.org/10.1086/516139</t>
  </si>
  <si>
    <t>Comparison of intravenous ganciclovir followed by oral acyclovir with intravenous ganciclovir alone for prevention of cytomegalovirus and Epstein-Barr virus disease after liver transplantation in children</t>
  </si>
  <si>
    <t>Green</t>
  </si>
  <si>
    <t>Clinical Infectious Diseases</t>
  </si>
  <si>
    <t>R02_S016</t>
  </si>
  <si>
    <t>https://doi.org/10.6002/ect.2015.0305</t>
  </si>
  <si>
    <t>Efficacy and safety of low-dose versus standard-dose valganciclovir for prevention of cytomegalovirus disease in intermediate-risk kidney transplant recipients</t>
  </si>
  <si>
    <t>Halim</t>
  </si>
  <si>
    <t>Experimental &amp; Clinical Transplantation</t>
  </si>
  <si>
    <t>R02_S017</t>
  </si>
  <si>
    <t>Randomized trial of daily versus three-times-weekly prophylactic ganciclovir after lung and heart-lung transplantation</t>
  </si>
  <si>
    <t>Hertz</t>
  </si>
  <si>
    <t>R02_S018</t>
  </si>
  <si>
    <t>https://doi.org/10.7326/0003-4819-123-1-199507010-00002</t>
  </si>
  <si>
    <t>Preemptive ganciclovir therapy to prevent cytomegalovirus disease in cytomegalovirus antibody-positive renal transplant recipients. A randomized controlled trial</t>
  </si>
  <si>
    <t>Hibberd</t>
  </si>
  <si>
    <t>Annals of Internal Medicine</t>
  </si>
  <si>
    <t>R02_S019</t>
  </si>
  <si>
    <t>https://doi.org/10.1111/j.1600-6143.2010.03074.x</t>
  </si>
  <si>
    <t>The efficacy and safety of 200 days valganciclovir cytomegalovirus prophylaxis in high-risk kidney transplant recipients</t>
  </si>
  <si>
    <t>Humar</t>
  </si>
  <si>
    <t>American Journal of Transplantation</t>
  </si>
  <si>
    <t>R02_S020</t>
  </si>
  <si>
    <t>https://doi.org/10.1681/asn.v72325</t>
  </si>
  <si>
    <t>Impact of high-dose oral acyclovir prophylaxis on cytomegalovirus (CMV) disease in CMV high-risk renal transplant recipients</t>
  </si>
  <si>
    <t>Kletzmayr</t>
  </si>
  <si>
    <t>Journal of the American Society of Nephrology</t>
  </si>
  <si>
    <t>R02_S021</t>
  </si>
  <si>
    <t>Prophylactic treatment of cytomegalovirus primary infection with ganciclovir in renal transplant recipients</t>
  </si>
  <si>
    <t>Leray</t>
  </si>
  <si>
    <t>Transplantation Proceedings</t>
  </si>
  <si>
    <t>R02_S022</t>
  </si>
  <si>
    <t>https://doi.org/10.1056/nejm199905133401903</t>
  </si>
  <si>
    <t>Valacyclovir for the prevention of cytomegalovirus disease after renal transplantation</t>
  </si>
  <si>
    <t>Lowance</t>
  </si>
  <si>
    <t>R02_S023</t>
  </si>
  <si>
    <t>A double-blind placebo-controlled trial of low-dose ganciclovir to prevent cytomegalovirus disease after heart transplantation</t>
  </si>
  <si>
    <t>Macdonald</t>
  </si>
  <si>
    <t>R02_S024</t>
  </si>
  <si>
    <t>https://doi.org/10.1097/00007890-199410150-00005</t>
  </si>
  <si>
    <t>A prospective randomized trial comparing sequential ganciclovir-high dose acyclovir to high dose acyclovir for prevention of cytomegalovirus disease in adult liver transplant recipients</t>
  </si>
  <si>
    <t>R02_S025</t>
  </si>
  <si>
    <t>https://doi.org/10.1056/nejm199204303261803</t>
  </si>
  <si>
    <t>A controlled trial of ganciclovir to prevent cytomegalovirus disease after heart transplantation</t>
  </si>
  <si>
    <t>Merigan</t>
  </si>
  <si>
    <t>R02_S026</t>
  </si>
  <si>
    <t>https://doi.org/10.1016/j.transproceed.2005.08.007</t>
  </si>
  <si>
    <t>A randomized prospective trial of oral versus intravenous ganciclovir for prophylaxis of cytomegalovirus infection and disease in high-risk kidney recipients</t>
  </si>
  <si>
    <t>Nafar</t>
  </si>
  <si>
    <t>R02_S027</t>
  </si>
  <si>
    <t>Viral prophylaxis in hepatic transplantation: Preliminary report of a randomized trial of acyclovir and gancyclovir</t>
  </si>
  <si>
    <t>Nakazato</t>
  </si>
  <si>
    <t>R02_S028</t>
  </si>
  <si>
    <t>https://doi.org/10.7326/0003-4819-152-12-201006150-00003</t>
  </si>
  <si>
    <t>Extended valganciclovir prophylaxis to prevent cytomegalovirus after lung transplantation: a randomized, controlled trial</t>
  </si>
  <si>
    <t>Palmer</t>
  </si>
  <si>
    <t>R02_S029</t>
  </si>
  <si>
    <t>https://doi.org/10.1111/j.1469-0691.2005.01215.x</t>
  </si>
  <si>
    <t>A comparative randomised study of valacyclovir vs. oral ganciclovir for cytomegalovirus prophylaxis in renal transplant recipients</t>
  </si>
  <si>
    <t>Pavlopoulou</t>
  </si>
  <si>
    <t>Clinical Microbiology &amp; Infection</t>
  </si>
  <si>
    <t>R02_S030</t>
  </si>
  <si>
    <t>https://doi.org/10.1111/j.1600-6143.2004.00382.x</t>
  </si>
  <si>
    <t>Efficacy and safety of valganciclovir vs. oral ganciclovir for prevention of cytomegalovirus disease in solid organ transplant recipients</t>
  </si>
  <si>
    <t>Paya</t>
  </si>
  <si>
    <t>R02_S031</t>
  </si>
  <si>
    <t>Cytomegalovirus prophylaxis by ganciclovir followed by high-dose acyclovir in renal transplantation: A randomized, controlled trial</t>
  </si>
  <si>
    <t>Pouteil-Noble</t>
  </si>
  <si>
    <t>R02_S032</t>
  </si>
  <si>
    <t>https://doi.org/10.1016/j.transproceed.2023.11.021</t>
  </si>
  <si>
    <t>Low-dose valganciclovir is as effective as the standard dose prophylaxis for cytomegalovirus in renal transplant recipients</t>
  </si>
  <si>
    <t>Prabakaran</t>
  </si>
  <si>
    <t>R02_S033</t>
  </si>
  <si>
    <t>https://doi.org/10.1097/01.tp.0000150024.01672.ca</t>
  </si>
  <si>
    <t>Valacyclovir for cytomegalovirus prophylaxis reduces the risk of acute renal allograft rejection</t>
  </si>
  <si>
    <t>R02_S034</t>
  </si>
  <si>
    <t>https://doi.org/10.1093/ndt/8.9.858</t>
  </si>
  <si>
    <t>Effect of prophylactic ganciclovir on cytomegalovirus infection in renal transplant recipients</t>
  </si>
  <si>
    <t>Rondeau</t>
  </si>
  <si>
    <t>Nephrology Dialysis Transplantation</t>
  </si>
  <si>
    <t>R02_S035</t>
  </si>
  <si>
    <t>https://doi.org/10.1111/j.1432-2277.1994.tb01384.x</t>
  </si>
  <si>
    <t>Cytomegalovirus (CMV) prophylaxis by acyclovir in pre-transplant CMV-positive renal transplant recipients</t>
  </si>
  <si>
    <t>Rostaing</t>
  </si>
  <si>
    <t>R02_S036</t>
  </si>
  <si>
    <t>https://doi.org/10.1111/j.1399-3062.2000.020303.x</t>
  </si>
  <si>
    <t>Prevention of primary cytomegalovirus disease in organ transplant recipients with oral ganciclovir or oral acyclovir prophylaxis</t>
  </si>
  <si>
    <t>Rubin</t>
  </si>
  <si>
    <t>R02_S037</t>
  </si>
  <si>
    <t>Randomized controlled trial of acyclovir for the prevention of cytomegalovirus infection and disease in liver transplant recipients</t>
  </si>
  <si>
    <t>Saliba</t>
  </si>
  <si>
    <t>R02_S038</t>
  </si>
  <si>
    <t>https://doi.org/10.1016/s0140-6736(95)92110-9</t>
  </si>
  <si>
    <t>Randomised comparison of ganciclovir and high-dose acyclovir for long-term cytomegalovirus prophylaxis in liver-transplant recipients</t>
  </si>
  <si>
    <t>Winston</t>
  </si>
  <si>
    <t>R02_S039</t>
  </si>
  <si>
    <t>https://doi.org/10.1097/01.tp.0000040601.60276.96</t>
  </si>
  <si>
    <t>Randomized controlled trial of oral ganciclovir versus oral acyclovir after induction with intravenous ganciclovir for long-term prophylaxis of cytomegalovirus disease in cytomegalovirus-seropositive liver transplant recipients</t>
  </si>
  <si>
    <t>R02_S040</t>
  </si>
  <si>
    <t>https://doi.org/10.1097/01.tp.0000093463.86584.ac</t>
  </si>
  <si>
    <t>Randomized controlled trial of sequential intravenous and oral ganciclovir versus prolonged intravenous ganciclovir for long-term prophylaxis of cytomegalovirus disease in high-risk cytomegalovirus-seronegative liver transplant recipients with cytomegalovirus-seropositive donors</t>
  </si>
  <si>
    <t>R02_S041</t>
  </si>
  <si>
    <t>https://doi.org/10.1111/j.1600-6143.2012.04231.x</t>
  </si>
  <si>
    <t>Efficacy and safety of maribavir dosed at 100 mg orally twice daily for the prevention of cytomegalovirus disease in liver transplant recipients: a randomized, double-blind, multicenter controlled trial</t>
  </si>
  <si>
    <r>
      <rPr>
        <u/>
        <sz val="12"/>
        <color rgb="FF1155CC"/>
        <rFont val="Arial"/>
        <scheme val="minor"/>
      </rPr>
      <t>10.1002/bjs.7394</t>
    </r>
  </si>
  <si>
    <r>
      <rPr>
        <u/>
        <sz val="12"/>
        <color rgb="FF1155CC"/>
        <rFont val="Arial"/>
        <scheme val="minor"/>
      </rPr>
      <t>10.1177/0268355516651026</t>
    </r>
  </si>
  <si>
    <r>
      <rPr>
        <u/>
        <sz val="12"/>
        <color rgb="FF1155CC"/>
        <rFont val="Arial"/>
        <scheme val="minor"/>
      </rPr>
      <t>10.1002/bjs.9580</t>
    </r>
  </si>
  <si>
    <r>
      <rPr>
        <u/>
        <sz val="12"/>
        <color rgb="FF1155CC"/>
        <rFont val="Arial"/>
        <scheme val="minor"/>
      </rPr>
      <t>10.1016/j.jvs.2012.12.074</t>
    </r>
  </si>
  <si>
    <r>
      <rPr>
        <u/>
        <sz val="12"/>
        <color rgb="FF1155CC"/>
        <rFont val="Arial"/>
        <scheme val="minor"/>
      </rPr>
      <t>10.1016/j.jvsv.2018.12.014</t>
    </r>
  </si>
  <si>
    <r>
      <rPr>
        <u/>
        <sz val="12"/>
        <color rgb="FF1155CC"/>
        <rFont val="Arial"/>
        <scheme val="minor"/>
      </rPr>
      <t>10.1016/j.jvs.2014.11.071</t>
    </r>
  </si>
  <si>
    <r>
      <rPr>
        <u/>
        <sz val="12"/>
        <color rgb="FF1155CC"/>
        <rFont val="Arial"/>
        <scheme val="minor"/>
      </rPr>
      <t>10.1097/SLA.0b013e318230af5a</t>
    </r>
  </si>
  <si>
    <r>
      <rPr>
        <u/>
        <sz val="12"/>
        <color rgb="FF1155CC"/>
        <rFont val="Arial"/>
        <scheme val="minor"/>
      </rPr>
      <t>10.1016/j.ejvs.2010.08.007</t>
    </r>
  </si>
  <si>
    <r>
      <rPr>
        <u/>
        <sz val="12"/>
        <color rgb="FF1155CC"/>
        <rFont val="Arial"/>
        <scheme val="minor"/>
      </rPr>
      <t>10.1016/j.jvs.2007.03.053</t>
    </r>
  </si>
  <si>
    <r>
      <rPr>
        <u/>
        <sz val="12"/>
        <color rgb="FF1155CC"/>
        <rFont val="Arial"/>
        <scheme val="minor"/>
      </rPr>
      <t>10.1002/bjs.7555</t>
    </r>
  </si>
  <si>
    <r>
      <rPr>
        <u/>
        <sz val="12"/>
        <color rgb="FF1155CC"/>
        <rFont val="Arial"/>
        <scheme val="minor"/>
      </rPr>
      <t>10.1067/mva.2002.123096</t>
    </r>
  </si>
  <si>
    <r>
      <rPr>
        <u/>
        <sz val="12"/>
        <color rgb="FF1155CC"/>
        <rFont val="Arial"/>
        <scheme val="minor"/>
      </rPr>
      <t>10.1016/j.jvir.2009.03.008</t>
    </r>
  </si>
  <si>
    <r>
      <rPr>
        <u/>
        <sz val="12"/>
        <color rgb="FF1155CC"/>
        <rFont val="Arial"/>
        <scheme val="minor"/>
      </rPr>
      <t>10.1002/bjs.7091</t>
    </r>
  </si>
  <si>
    <r>
      <rPr>
        <u/>
        <sz val="12"/>
        <color rgb="FF1155CC"/>
        <rFont val="Arial"/>
        <scheme val="minor"/>
      </rPr>
      <t>10.1002/bjs.6867</t>
    </r>
  </si>
  <si>
    <r>
      <rPr>
        <u/>
        <sz val="12"/>
        <color rgb="FF1155CC"/>
        <rFont val="Arial"/>
        <scheme val="minor"/>
      </rPr>
      <t>10.1177/0268355516658592</t>
    </r>
  </si>
  <si>
    <r>
      <rPr>
        <u/>
        <sz val="12"/>
        <color rgb="FF1155CC"/>
        <rFont val="Arial"/>
        <scheme val="minor"/>
      </rPr>
      <t>10.1002/bjs.11158</t>
    </r>
  </si>
  <si>
    <r>
      <rPr>
        <u/>
        <sz val="12"/>
        <color rgb="FF1155CC"/>
        <rFont val="Arial"/>
        <scheme val="minor"/>
      </rPr>
      <t>10.1002/bjs.10260</t>
    </r>
  </si>
  <si>
    <r>
      <rPr>
        <u/>
        <sz val="12"/>
        <color rgb="FF1155CC"/>
        <rFont val="Arial"/>
        <scheme val="minor"/>
      </rPr>
      <t>10.1111/j.1440-1754.2007.01201.x</t>
    </r>
  </si>
  <si>
    <r>
      <rPr>
        <u/>
        <sz val="12"/>
        <color rgb="FF1155CC"/>
        <rFont val="Arial"/>
        <scheme val="minor"/>
      </rPr>
      <t>10.1097/MCG.0b013e31815a5780</t>
    </r>
  </si>
  <si>
    <r>
      <rPr>
        <u/>
        <sz val="10"/>
        <color rgb="FF1155CC"/>
        <rFont val="Arial"/>
      </rPr>
      <t>https://doi.org/10.18203/2349-3291.ijcp20182582</t>
    </r>
  </si>
  <si>
    <r>
      <rPr>
        <u/>
        <sz val="12"/>
        <color rgb="FF1155CC"/>
        <rFont val="Arial"/>
        <scheme val="minor"/>
      </rPr>
      <t>10.1016/s0022-3476(98)70398-1</t>
    </r>
  </si>
  <si>
    <r>
      <rPr>
        <u/>
        <sz val="12"/>
        <color rgb="FF1155CC"/>
        <rFont val="Arial"/>
        <scheme val="minor"/>
      </rPr>
      <t>10.3748/wjg.v12.i28.4557</t>
    </r>
  </si>
  <si>
    <r>
      <rPr>
        <u/>
        <sz val="12"/>
        <color rgb="FF1155CC"/>
        <rFont val="Arial"/>
        <scheme val="minor"/>
      </rPr>
      <t>10.1097/00005176-200109000-00015</t>
    </r>
  </si>
  <si>
    <r>
      <rPr>
        <u/>
        <sz val="12"/>
        <color rgb="FF1155CC"/>
        <rFont val="Arial"/>
        <scheme val="minor"/>
      </rPr>
      <t>10.4103/0976-500X.114603</t>
    </r>
  </si>
  <si>
    <r>
      <rPr>
        <u/>
        <sz val="12"/>
        <color rgb="FF1155CC"/>
        <rFont val="Arial"/>
        <scheme val="minor"/>
      </rPr>
      <t>10.3109/00365529609051997</t>
    </r>
  </si>
  <si>
    <r>
      <rPr>
        <u/>
        <sz val="12"/>
        <color rgb="FF1155CC"/>
        <rFont val="Arial"/>
        <scheme val="minor"/>
      </rPr>
      <t>10.1136/bmj.39272.581736.55</t>
    </r>
  </si>
  <si>
    <r>
      <rPr>
        <u/>
        <sz val="12"/>
        <color rgb="FF1155CC"/>
        <rFont val="Arial"/>
        <scheme val="minor"/>
      </rPr>
      <t>10.1097/inf.0b013e3181b530bf</t>
    </r>
  </si>
  <si>
    <r>
      <rPr>
        <u/>
        <sz val="12"/>
        <color rgb="FF1155CC"/>
        <rFont val="Arial"/>
        <scheme val="minor"/>
      </rPr>
      <t>10.1097/MPG.0b013e31822b7ab0</t>
    </r>
  </si>
  <si>
    <r>
      <rPr>
        <u/>
        <sz val="12"/>
        <color rgb="FF1155CC"/>
        <rFont val="Arial"/>
        <scheme val="minor"/>
      </rPr>
      <t>10.1097/00005176-200301000-00021</t>
    </r>
  </si>
  <si>
    <r>
      <rPr>
        <u/>
        <sz val="12"/>
        <color rgb="FF1155CC"/>
        <rFont val="Arial"/>
        <scheme val="minor"/>
      </rPr>
      <t>10.1111/j.1442-200X.2011.03325.x</t>
    </r>
  </si>
  <si>
    <r>
      <rPr>
        <u/>
        <sz val="12"/>
        <color rgb="FF1155CC"/>
        <rFont val="Arial"/>
        <scheme val="minor"/>
      </rPr>
      <t>10.1093/tropej/fmw032</t>
    </r>
  </si>
  <si>
    <r>
      <rPr>
        <u/>
        <sz val="12"/>
        <color rgb="FF1155CC"/>
        <rFont val="Arial"/>
        <scheme val="minor"/>
      </rPr>
      <t>10.1111/apa.12617</t>
    </r>
  </si>
  <si>
    <r>
      <rPr>
        <u/>
        <sz val="12"/>
        <color rgb="FF1155CC"/>
        <rFont val="Arial"/>
        <scheme val="minor"/>
      </rPr>
      <t>10.1016/j.jped.2014.10.009</t>
    </r>
  </si>
  <si>
    <r>
      <rPr>
        <u/>
        <sz val="12"/>
        <color rgb="FF1155CC"/>
        <rFont val="Arial"/>
        <scheme val="minor"/>
      </rPr>
      <t>10.3920/BM2014.0086</t>
    </r>
  </si>
  <si>
    <r>
      <rPr>
        <u/>
        <sz val="12"/>
        <color rgb="FF1155CC"/>
        <rFont val="Arial"/>
        <scheme val="minor"/>
      </rPr>
      <t>10.1097/MCG.0b013e31816fc2f6</t>
    </r>
  </si>
  <si>
    <r>
      <rPr>
        <u/>
        <sz val="12"/>
        <color rgb="FF1155CC"/>
        <rFont val="Arial"/>
        <scheme val="minor"/>
      </rPr>
      <t>10.1111/j.1365-3156.2011.02745.x</t>
    </r>
  </si>
  <si>
    <r>
      <rPr>
        <u/>
        <sz val="10"/>
        <color rgb="FF1155CC"/>
        <rFont val="Arial"/>
      </rPr>
      <t>10.3889/oamjms.2015.088</t>
    </r>
  </si>
  <si>
    <r>
      <rPr>
        <u/>
        <sz val="12"/>
        <color rgb="FF1155CC"/>
        <rFont val="Arial"/>
        <scheme val="minor"/>
      </rPr>
      <t>10.1155/2012/787240</t>
    </r>
  </si>
  <si>
    <r>
      <rPr>
        <u/>
        <sz val="12"/>
        <color rgb="FF1155CC"/>
        <rFont val="Arial"/>
        <scheme val="minor"/>
      </rPr>
      <t>10.1111/j.1365-2036.2012.05180.x</t>
    </r>
  </si>
  <si>
    <r>
      <rPr>
        <u/>
        <sz val="12"/>
        <color rgb="FF1155CC"/>
        <rFont val="Arial"/>
        <scheme val="minor"/>
      </rPr>
      <t>10.1177/0009922815569200</t>
    </r>
  </si>
  <si>
    <r>
      <rPr>
        <u/>
        <sz val="12"/>
        <color rgb="FF1155CC"/>
        <rFont val="Arial"/>
        <scheme val="minor"/>
      </rPr>
      <t>10.1097/00005176-200001000-00018</t>
    </r>
  </si>
  <si>
    <r>
      <rPr>
        <u/>
        <sz val="12"/>
        <color rgb="FF1155CC"/>
        <rFont val="Arial"/>
        <scheme val="minor"/>
      </rPr>
      <t>10.1097/00005176-199711000-00005</t>
    </r>
  </si>
  <si>
    <r>
      <rPr>
        <u/>
        <sz val="12"/>
        <color rgb="FF1155CC"/>
        <rFont val="Arial"/>
        <scheme val="minor"/>
      </rPr>
      <t>10.1007/s12098-014-1408-5</t>
    </r>
  </si>
  <si>
    <r>
      <rPr>
        <u/>
        <sz val="12"/>
        <color rgb="FF1155CC"/>
        <rFont val="Arial"/>
        <scheme val="minor"/>
      </rPr>
      <t>10.1007/s00431-007-0419-x</t>
    </r>
  </si>
  <si>
    <r>
      <rPr>
        <u/>
        <sz val="12"/>
        <color rgb="FF1155CC"/>
        <rFont val="Arial"/>
        <scheme val="minor"/>
      </rPr>
      <t>10.1097/INF.0b013e318169034c</t>
    </r>
  </si>
  <si>
    <r>
      <rPr>
        <u/>
        <sz val="12"/>
        <color rgb="FF1155CC"/>
        <rFont val="Arial"/>
        <scheme val="minor"/>
      </rPr>
      <t>10.1097/INF.0000000000001712</t>
    </r>
  </si>
  <si>
    <r>
      <rPr>
        <u/>
        <sz val="12"/>
        <color rgb="FF1155CC"/>
        <rFont val="Arial"/>
        <scheme val="minor"/>
      </rPr>
      <t>10.1097/MCG.0b013e31828f1c6e</t>
    </r>
  </si>
  <si>
    <r>
      <rPr>
        <u/>
        <sz val="12"/>
        <color rgb="FF1155CC"/>
        <rFont val="Arial"/>
        <scheme val="minor"/>
      </rPr>
      <t>10.1007/BF02087695</t>
    </r>
  </si>
  <si>
    <r>
      <rPr>
        <u/>
        <sz val="12"/>
        <color rgb="FF1155CC"/>
        <rFont val="Arial"/>
        <scheme val="minor"/>
      </rPr>
      <t>10.1111/j.1651-2227.2005.tb01786.x</t>
    </r>
  </si>
  <si>
    <r>
      <rPr>
        <u/>
        <sz val="12"/>
        <color rgb="FF1155CC"/>
        <rFont val="Arial"/>
        <scheme val="minor"/>
      </rPr>
      <t>10.1007/s00228-018-2562-x</t>
    </r>
  </si>
  <si>
    <r>
      <rPr>
        <u/>
        <sz val="12"/>
        <color rgb="FF1155CC"/>
        <rFont val="Arial"/>
        <scheme val="minor"/>
      </rPr>
      <t>10.1007/s12098-008-0134-2</t>
    </r>
  </si>
  <si>
    <r>
      <rPr>
        <u/>
        <sz val="12"/>
        <color rgb="FF1155CC"/>
        <rFont val="Arial"/>
        <scheme val="minor"/>
      </rPr>
      <t>10.1097/PEC.0b013e31826cad9f</t>
    </r>
  </si>
  <si>
    <r>
      <rPr>
        <u/>
        <sz val="12"/>
        <color rgb="FF1155CC"/>
        <rFont val="Arial"/>
        <scheme val="minor"/>
      </rPr>
      <t>10.1177/147323000703500204</t>
    </r>
  </si>
  <si>
    <r>
      <rPr>
        <u/>
        <sz val="12"/>
        <color rgb="FF1155CC"/>
        <rFont val="Arial"/>
        <scheme val="minor"/>
      </rPr>
      <t>10.1093/tropej/42.3.162</t>
    </r>
  </si>
  <si>
    <r>
      <rPr>
        <u/>
        <sz val="12"/>
        <color rgb="FF1155CC"/>
        <rFont val="Arial"/>
        <scheme val="minor"/>
      </rPr>
      <t>10.3390/nu9080887</t>
    </r>
  </si>
  <si>
    <t>https://doi.org/10.5455/njppp.2019.9.0310829032019</t>
  </si>
  <si>
    <r>
      <rPr>
        <u/>
        <sz val="10"/>
        <color rgb="FF1155CC"/>
        <rFont val="Arial"/>
      </rPr>
      <t>https://doi.org/10.1016/j.cptl.2016.06.008</t>
    </r>
  </si>
  <si>
    <r>
      <rPr>
        <u/>
        <sz val="10"/>
        <color rgb="FF1155CC"/>
        <rFont val="Arial"/>
      </rPr>
      <t>https://doi.org/10.1016/j.cptl.2013.07.004</t>
    </r>
  </si>
  <si>
    <r>
      <rPr>
        <u/>
        <sz val="10"/>
        <color rgb="FF1155CC"/>
        <rFont val="Arial"/>
      </rPr>
      <t>https://doi.org/10.1016/j.cptl.2014.02.017</t>
    </r>
  </si>
  <si>
    <r>
      <rPr>
        <u/>
        <sz val="10"/>
        <color rgb="FF1155CC"/>
        <rFont val="Arial"/>
      </rPr>
      <t>https://doi.org/10.1016/j.nedt.2019.104262</t>
    </r>
  </si>
  <si>
    <r>
      <rPr>
        <u/>
        <sz val="10"/>
        <color rgb="FF1155CC"/>
        <rFont val="Arial"/>
      </rPr>
      <t>https://doi.org/10.1177/183693911003500406</t>
    </r>
  </si>
  <si>
    <r>
      <rPr>
        <u/>
        <sz val="10"/>
        <color rgb="FF1155CC"/>
        <rFont val="Arial"/>
      </rPr>
      <t>https://doi.org/10.1177/875687051303200205</t>
    </r>
  </si>
  <si>
    <r>
      <rPr>
        <u/>
        <sz val="10"/>
        <color rgb="FF1155CC"/>
        <rFont val="Arial"/>
      </rPr>
      <t>https://doi.org/10.1177/215416471004500112</t>
    </r>
  </si>
  <si>
    <t>https://doi.org/10.1080/09362835.2020.1772064?urlappend=%3Futm_source%3Dresearchgate.net%26utm_medium%3Darticle</t>
  </si>
  <si>
    <r>
      <rPr>
        <u/>
        <sz val="10"/>
        <color rgb="FF1155CC"/>
        <rFont val="&quot;Open Sans&quot;, sans-serif"/>
      </rPr>
      <t>https://doi.org/10.1177/10634266211051404</t>
    </r>
  </si>
  <si>
    <r>
      <rPr>
        <u/>
        <sz val="10"/>
        <color rgb="FF1155CC"/>
        <rFont val="&quot;Open Sans&quot;, sans-serif"/>
      </rPr>
      <t>https://doi.org/10.1080/0144341890090305</t>
    </r>
  </si>
  <si>
    <r>
      <rPr>
        <u/>
        <sz val="10"/>
        <color rgb="FF1155CC"/>
        <rFont val="&quot;Nexus Sans Pro&quot;, sans-serif"/>
      </rPr>
      <t>10.1007/s10864-019-09346-5</t>
    </r>
  </si>
  <si>
    <r>
      <rPr>
        <u/>
        <sz val="12"/>
        <color rgb="FF1155CC"/>
        <rFont val="Arial"/>
        <scheme val="minor"/>
      </rPr>
      <t>10.1097/MPG.0000000000000639</t>
    </r>
  </si>
  <si>
    <r>
      <rPr>
        <u/>
        <sz val="12"/>
        <color rgb="FF1155CC"/>
        <rFont val="Arial"/>
        <scheme val="minor"/>
      </rPr>
      <t>10.1186/s12887-017-0860-6</t>
    </r>
  </si>
  <si>
    <r>
      <rPr>
        <u/>
        <sz val="12"/>
        <color rgb="FF1155CC"/>
        <rFont val="Arial"/>
        <scheme val="minor"/>
      </rPr>
      <t>10.1093/heapol/czr017</t>
    </r>
  </si>
  <si>
    <r>
      <rPr>
        <u/>
        <sz val="12"/>
        <color rgb="FF1155CC"/>
        <rFont val="Arial"/>
        <scheme val="minor"/>
      </rPr>
      <t>10.3233/DEV-180255</t>
    </r>
  </si>
  <si>
    <r>
      <rPr>
        <u/>
        <sz val="12"/>
        <color rgb="FF1155CC"/>
        <rFont val="Arial"/>
        <scheme val="minor"/>
      </rPr>
      <t>10.3389/fpsyt.2021.774063</t>
    </r>
  </si>
  <si>
    <r>
      <rPr>
        <u/>
        <sz val="10"/>
        <color rgb="FF1155CC"/>
        <rFont val="Arial"/>
      </rPr>
      <t>https://doi.org/10.1080/1057610X.2012.675550</t>
    </r>
  </si>
  <si>
    <r>
      <rPr>
        <u/>
        <sz val="10"/>
        <color rgb="FF1155CC"/>
        <rFont val="Arial"/>
      </rPr>
      <t>https://doi.org/10.1177/0002764219831746</t>
    </r>
  </si>
  <si>
    <r>
      <rPr>
        <u/>
        <sz val="10"/>
        <color rgb="FF1155CC"/>
        <rFont val="&quot;Open Sans&quot;, sans-serif"/>
      </rPr>
      <t>https://doi.org/10.1080/19434472.2021.1874041</t>
    </r>
  </si>
  <si>
    <r>
      <rPr>
        <u/>
        <sz val="10"/>
        <color rgb="FF1155CC"/>
        <rFont val="&quot;Open Sans&quot;, sans-serif"/>
      </rPr>
      <t>https://doi.org/10.1080/1057610X.2015.1008341</t>
    </r>
  </si>
  <si>
    <r>
      <rPr>
        <u/>
        <sz val="10"/>
        <color rgb="FF1155CC"/>
        <rFont val="Arial"/>
      </rPr>
      <t>https://doi.org/10.1177/1088767918770704</t>
    </r>
  </si>
  <si>
    <r>
      <rPr>
        <u/>
        <sz val="12"/>
        <color rgb="FF1155CC"/>
        <rFont val="Arial"/>
        <scheme val="minor"/>
      </rPr>
      <t>10.1111/1556-4029.13985</t>
    </r>
  </si>
  <si>
    <r>
      <rPr>
        <u/>
        <sz val="10"/>
        <color rgb="FF1155CC"/>
        <rFont val="&quot;Open Sans&quot;, sans-serif"/>
      </rPr>
      <t>https://doi.org/10.1080/09546553.2014.975646</t>
    </r>
  </si>
  <si>
    <r>
      <rPr>
        <u/>
        <sz val="10"/>
        <color rgb="FF1155CC"/>
        <rFont val="Arial"/>
      </rPr>
      <t>10.1080/19434472.2020.1819372</t>
    </r>
  </si>
  <si>
    <r>
      <rPr>
        <u/>
        <sz val="12"/>
        <color rgb="FF1155CC"/>
        <rFont val="Arial"/>
        <scheme val="minor"/>
      </rPr>
      <t>10.1037/lhb0000102</t>
    </r>
  </si>
  <si>
    <r>
      <rPr>
        <u/>
        <sz val="10"/>
        <color rgb="FF1155CC"/>
        <rFont val="Arial"/>
      </rPr>
      <t>https://doi.org/10.1080/1068316X.2018.1503664</t>
    </r>
  </si>
  <si>
    <r>
      <rPr>
        <u/>
        <sz val="12"/>
        <color rgb="FF1155CC"/>
        <rFont val="Arial"/>
        <scheme val="minor"/>
      </rPr>
      <t>10.1177/13634615211023669</t>
    </r>
  </si>
  <si>
    <r>
      <rPr>
        <u/>
        <sz val="10"/>
        <color rgb="FF1155CC"/>
        <rFont val="&quot;Open Sans&quot;, sans-serif"/>
      </rPr>
      <t>https://doi.org/10.1080/19434472.2019.1591481</t>
    </r>
  </si>
  <si>
    <r>
      <rPr>
        <u/>
        <sz val="12"/>
        <color rgb="FF1155CC"/>
        <rFont val="Arial"/>
        <scheme val="minor"/>
      </rPr>
      <t>10.3389/fpsyt.2022.801751</t>
    </r>
  </si>
  <si>
    <r>
      <rPr>
        <u/>
        <sz val="10"/>
        <color rgb="FF1155CC"/>
        <rFont val="&quot;Open Sans&quot;, sans-serif"/>
      </rPr>
      <t>https://doi.org/10.1080/09546553.2017.1297708</t>
    </r>
  </si>
  <si>
    <r>
      <rPr>
        <u/>
        <sz val="10"/>
        <color rgb="FF1155CC"/>
        <rFont val="&quot;Open Sans&quot;, sans-serif"/>
      </rPr>
      <t>https://doi.org/10.1080/09546553.2016.1277669</t>
    </r>
  </si>
  <si>
    <r>
      <rPr>
        <u/>
        <sz val="10"/>
        <color rgb="FF1155CC"/>
        <rFont val="&quot;Open Sans&quot;, sans-serif"/>
      </rPr>
      <t>https://doi.org/10.1080/09546553.2019.1668781</t>
    </r>
  </si>
  <si>
    <r>
      <rPr>
        <u/>
        <sz val="10"/>
        <color rgb="FF1155CC"/>
        <rFont val="&quot;Open Sans&quot;, sans-serif"/>
      </rPr>
      <t>https://doi.org/10.1080/19434472.2021.2013292</t>
    </r>
  </si>
  <si>
    <r>
      <rPr>
        <u/>
        <sz val="10"/>
        <color rgb="FF1155CC"/>
        <rFont val="Arial"/>
      </rPr>
      <t>https://doi.org/10.1037/tam0000165</t>
    </r>
  </si>
  <si>
    <r>
      <rPr>
        <u/>
        <sz val="10"/>
        <color rgb="FF1155CC"/>
        <rFont val="Arial"/>
      </rPr>
      <t>https://doi.org/10.1177/1088767912462033</t>
    </r>
  </si>
  <si>
    <r>
      <rPr>
        <u/>
        <sz val="12"/>
        <color rgb="FF1155CC"/>
        <rFont val="Arial"/>
        <scheme val="minor"/>
      </rPr>
      <t>10.1177/1088767917736797</t>
    </r>
  </si>
  <si>
    <r>
      <rPr>
        <u/>
        <sz val="10"/>
        <color rgb="FF1155CC"/>
        <rFont val="Arial"/>
      </rPr>
      <t>https://doi.org/10.1177/002580248602600304</t>
    </r>
  </si>
  <si>
    <r>
      <rPr>
        <u/>
        <sz val="10"/>
        <color rgb="FF1155CC"/>
        <rFont val="&quot;Open Sans&quot;, sans-serif"/>
      </rPr>
      <t>https://doi.org/10.1080/09546553.2020.1821668</t>
    </r>
  </si>
  <si>
    <r>
      <rPr>
        <u/>
        <sz val="10"/>
        <color rgb="FF1155CC"/>
        <rFont val="Arial"/>
      </rPr>
      <t>10.1080/09546550903409312</t>
    </r>
  </si>
  <si>
    <r>
      <rPr>
        <u/>
        <sz val="10"/>
        <color rgb="FF1155CC"/>
        <rFont val="Arial"/>
      </rPr>
      <t>10.1037/tam0000119</t>
    </r>
  </si>
  <si>
    <r>
      <rPr>
        <u/>
        <sz val="10"/>
        <color rgb="FF1155CC"/>
        <rFont val="Arial"/>
      </rPr>
      <t>https://doi.org/10.13016/5mot-h708</t>
    </r>
  </si>
  <si>
    <r>
      <rPr>
        <u/>
        <sz val="10"/>
        <color rgb="FF1155CC"/>
        <rFont val="&quot;Open Sans&quot;, sans-serif"/>
      </rPr>
      <t>https://doi.org/10.1080/09546553.2019.1663828</t>
    </r>
  </si>
  <si>
    <r>
      <rPr>
        <u/>
        <sz val="10"/>
        <color rgb="FF1155CC"/>
        <rFont val="Arial"/>
      </rPr>
      <t>https://doi.org/10.1177/0002764215588817</t>
    </r>
  </si>
  <si>
    <r>
      <rPr>
        <u/>
        <sz val="10"/>
        <color rgb="FF1155CC"/>
        <rFont val="Arial"/>
      </rPr>
      <t>10.13140/RG.2.2.12940.21124</t>
    </r>
  </si>
  <si>
    <r>
      <rPr>
        <u/>
        <sz val="10"/>
        <color rgb="FF1155CC"/>
        <rFont val="Arial"/>
      </rPr>
      <t>https://doi.org/10.1177/0022427815627312</t>
    </r>
  </si>
  <si>
    <r>
      <rPr>
        <u/>
        <sz val="10"/>
        <color rgb="FF1155CC"/>
        <rFont val="Arial"/>
      </rPr>
      <t>https://doi.org/10.1177/17488958211049019</t>
    </r>
  </si>
  <si>
    <r>
      <rPr>
        <u/>
        <sz val="10"/>
        <color rgb="FF1155CC"/>
        <rFont val="Arial"/>
      </rPr>
      <t>10.9770/jssi.2018.8.1(1)</t>
    </r>
  </si>
  <si>
    <r>
      <rPr>
        <u/>
        <sz val="10"/>
        <color rgb="FF1155CC"/>
        <rFont val="Arial"/>
      </rPr>
      <t>10.1139/x03-267</t>
    </r>
  </si>
  <si>
    <r>
      <rPr>
        <u/>
        <sz val="10"/>
        <color rgb="FF1155CC"/>
        <rFont val="Arial"/>
      </rPr>
      <t>https://doi.org/10.1016/S1002-0160(15)60099-6</t>
    </r>
  </si>
  <si>
    <r>
      <rPr>
        <u/>
        <sz val="12"/>
        <color rgb="FF1155CC"/>
        <rFont val="Arial"/>
        <scheme val="minor"/>
      </rPr>
      <t>10.1007/s00442-003-1310-8</t>
    </r>
  </si>
  <si>
    <r>
      <rPr>
        <u/>
        <sz val="10"/>
        <color rgb="FF1155CC"/>
        <rFont val="Arial"/>
      </rPr>
      <t>https://doi.org/10.1139/X06-310</t>
    </r>
  </si>
  <si>
    <r>
      <rPr>
        <u/>
        <sz val="10"/>
        <color rgb="FF1155CC"/>
        <rFont val="Arial"/>
      </rPr>
      <t>https://doi.org/10.1016/j.foreco.2018.11.023</t>
    </r>
  </si>
  <si>
    <r>
      <rPr>
        <u/>
        <sz val="10"/>
        <color rgb="FF1155CC"/>
        <rFont val="Arial"/>
      </rPr>
      <t>https://doi.org/10.1016/j.biocon.2003.08.015</t>
    </r>
  </si>
  <si>
    <r>
      <rPr>
        <u/>
        <sz val="10"/>
        <color rgb="FF1155CC"/>
        <rFont val="Arial"/>
      </rPr>
      <t>https://doi.org/10.1016/j.foreco.2009.06.033</t>
    </r>
  </si>
  <si>
    <r>
      <rPr>
        <u/>
        <sz val="12"/>
        <color rgb="FF1155CC"/>
        <rFont val="Arial"/>
        <scheme val="minor"/>
      </rPr>
      <t>10.1038/s41598-018-35159-z</t>
    </r>
  </si>
  <si>
    <r>
      <rPr>
        <u/>
        <sz val="10"/>
        <color rgb="FF1155CC"/>
        <rFont val="Arial"/>
      </rPr>
      <t>https://doi.org/10.4141/S99-112</t>
    </r>
  </si>
  <si>
    <r>
      <rPr>
        <u/>
        <sz val="10"/>
        <color rgb="FF1155CC"/>
        <rFont val="Arial"/>
      </rPr>
      <t>https://doi.org/10.1016/j.soilbio.2015.02.007</t>
    </r>
  </si>
  <si>
    <r>
      <rPr>
        <u/>
        <sz val="10"/>
        <color rgb="FF1155CC"/>
        <rFont val="Arial"/>
      </rPr>
      <t>10.1007/s10531-013-0489-1</t>
    </r>
  </si>
  <si>
    <t>Maity</t>
  </si>
  <si>
    <t>European Journal of Clinical Pharmacology</t>
  </si>
  <si>
    <t>A prospective, interventional, randomized, double-blind, placebo-controlled clinical study to evaluate the efficacy and safety of Bacillus coagulans LBSC in the treatment of acute diarrhea with abdominal discomfort</t>
  </si>
  <si>
    <t>Exclude</t>
  </si>
  <si>
    <t>&lt;20 studies</t>
  </si>
  <si>
    <t>13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</si>
</sst>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0"/>
      <color rgb="FF000000"/>
      <name val="Arial"/>
      <scheme val="minor"/>
    </font>
    <font>
      <b/>
      <sz val="10"/>
      <color theme="1"/>
      <name val="Arial"/>
      <scheme val="minor"/>
    </font>
    <font>
      <sz val="10"/>
      <color theme="1"/>
      <name val="&quot;Google Sans Text&quot;"/>
    </font>
    <font>
      <sz val="10"/>
      <color theme="1"/>
      <name val="Arial"/>
      <scheme val="minor"/>
    </font>
    <font>
      <u/>
      <sz val="10"/>
      <color rgb="FF0000FF"/>
      <name val="Arial"/>
    </font>
    <font>
      <b/>
      <u/>
      <sz val="14"/>
      <color rgb="FF1155CC"/>
      <name val="Google Sans Text"/>
    </font>
    <font>
      <b/>
      <sz val="14"/>
      <color rgb="FF1F1F1F"/>
      <name val="Google Sans Text"/>
    </font>
    <font>
      <u/>
      <sz val="10"/>
      <color theme="1"/>
      <name val="Arial"/>
      <scheme val="minor"/>
    </font>
    <font>
      <sz val="10"/>
      <color theme="7"/>
      <name val="Arial"/>
      <scheme val="minor"/>
    </font>
    <font>
      <sz val="10"/>
      <color rgb="FF1F1F1F"/>
      <name val="&quot;Google Sans Text&quot;"/>
    </font>
    <font>
      <b/>
      <sz val="14"/>
      <color rgb="FF1F1F1F"/>
      <name val="&quot;Google Sans Text&quot;"/>
    </font>
    <font>
      <b/>
      <sz val="14"/>
      <color theme="1"/>
      <name val="&quot;Google Sans Text&quot;"/>
    </font>
    <font>
      <b/>
      <i/>
      <sz val="14"/>
      <color rgb="FF1F1F1F"/>
      <name val="&quot;Google Sans Text&quot;"/>
    </font>
    <font>
      <b/>
      <i/>
      <sz val="14"/>
      <color theme="1"/>
      <name val="&quot;Google Sans Text&quot;"/>
    </font>
    <font>
      <u/>
      <sz val="8"/>
      <color rgb="FF000000"/>
      <name val="'Helvetica'"/>
    </font>
    <font>
      <u/>
      <sz val="10"/>
      <color rgb="FF333333"/>
      <name val="&quot;Open Sans&quot;"/>
    </font>
    <font>
      <u/>
      <sz val="10"/>
      <color rgb="FF000000"/>
      <name val="'Helvetica'"/>
    </font>
    <font>
      <u/>
      <sz val="12"/>
      <color rgb="FF0000FF"/>
      <name val="&quot;Source Sans Pro Web&quot;"/>
    </font>
    <font>
      <u/>
      <sz val="12"/>
      <color rgb="FF212121"/>
      <name val="&quot;system-ui&quot;"/>
    </font>
    <font>
      <u/>
      <sz val="11"/>
      <color rgb="FF333333"/>
      <name val="Arial"/>
    </font>
    <font>
      <sz val="12"/>
      <color rgb="FF212121"/>
      <name val="&quot;system-ui&quot;"/>
    </font>
    <font>
      <sz val="11"/>
      <color rgb="FF333333"/>
      <name val="&quot;Fira Sans&quot;"/>
    </font>
    <font>
      <b/>
      <sz val="12"/>
      <color rgb="FF4D4D4D"/>
      <name val="Arial"/>
    </font>
    <font>
      <u/>
      <sz val="11"/>
      <color rgb="FF3B3030"/>
      <name val="&quot;Fira Sans&quot;"/>
    </font>
    <font>
      <u/>
      <sz val="6"/>
      <color rgb="FF131413"/>
      <name val="'Helvetica'"/>
    </font>
    <font>
      <u/>
      <sz val="10"/>
      <color rgb="FF1A1919"/>
      <name val="'Helvetica'"/>
    </font>
    <font>
      <sz val="10"/>
      <color theme="1"/>
      <name val="&quot;Open Sans&quot;"/>
    </font>
    <font>
      <u/>
      <sz val="10"/>
      <color rgb="FF666666"/>
      <name val="&quot;Nexus Sans Pro&quot;"/>
    </font>
    <font>
      <sz val="10"/>
      <color rgb="FF666666"/>
      <name val="&quot;Nexus Sans Pro&quot;"/>
    </font>
    <font>
      <b/>
      <sz val="12"/>
      <color rgb="FF4D4D4D"/>
      <name val="OTNEJMScalaSansLF"/>
    </font>
    <font>
      <u/>
      <sz val="11"/>
      <color rgb="FF0000FF"/>
      <name val="Arial"/>
    </font>
    <font>
      <u/>
      <sz val="12"/>
      <color rgb="FF222222"/>
      <name val="&quot;Merriweather Sans&quot;"/>
    </font>
    <font>
      <sz val="10"/>
      <color rgb="FF333333"/>
      <name val="&quot;Open Sans&quot;"/>
    </font>
    <font>
      <u/>
      <sz val="12"/>
      <color rgb="FF1B1B1B"/>
      <name val="&quot;Source Sans Pro Web&quot;"/>
    </font>
    <font>
      <u/>
      <sz val="10"/>
      <color rgb="FF222222"/>
      <name val="&quot;Merriweather Sans&quot;"/>
    </font>
    <font>
      <u/>
      <sz val="11"/>
      <color rgb="FF767676"/>
      <name val="&quot;Open Sans&quot;"/>
    </font>
    <font>
      <u/>
      <sz val="11"/>
      <color rgb="FF000000"/>
      <name val="Arial"/>
    </font>
    <font>
      <sz val="11"/>
      <color rgb="FF767676"/>
      <name val="&quot;Open Sans&quot;"/>
    </font>
    <font>
      <sz val="8"/>
      <color rgb="FF4A4A4A"/>
      <name val="Arial"/>
    </font>
    <font>
      <sz val="12"/>
      <color rgb="FF333333"/>
      <name val="Asap"/>
    </font>
    <font>
      <sz val="15"/>
      <color rgb="FF343333"/>
      <name val="&quot;Noto Sans&quot;"/>
    </font>
    <font>
      <b/>
      <sz val="10"/>
      <color rgb="FF1155CC"/>
      <name val="Arial"/>
      <scheme val="minor"/>
    </font>
    <font>
      <u/>
      <sz val="10"/>
      <color rgb="FF1155CC"/>
      <name val="Arial"/>
    </font>
    <font>
      <u/>
      <sz val="10"/>
      <color rgb="FF1155CC"/>
      <name val="'Helvetica'"/>
    </font>
    <font>
      <u/>
      <sz val="10"/>
      <color rgb="FF1155CC"/>
      <name val="&quot;Open Sans&quot;"/>
    </font>
    <font>
      <sz val="10"/>
      <color rgb="FF1155CC"/>
      <name val="Arial"/>
      <scheme val="minor"/>
    </font>
    <font>
      <u/>
      <sz val="10"/>
      <color rgb="FF1155CC"/>
      <name val="&quot;Source Sans Pro Web&quot;"/>
    </font>
    <font>
      <u/>
      <sz val="10"/>
      <color rgb="FF1155CC"/>
      <name val="&quot;Open Sans&quot;, sans-serif"/>
    </font>
    <font>
      <u/>
      <sz val="12"/>
      <color rgb="FF1155CC"/>
      <name val="Arial"/>
      <scheme val="minor"/>
    </font>
    <font>
      <u/>
      <sz val="10"/>
      <color rgb="FF1155CC"/>
      <name val="&quot;Nexus Sans Pro&quot;, sans-serif"/>
    </font>
    <font>
      <u/>
      <sz val="10"/>
      <color rgb="FF1155CC"/>
      <name val="Arial"/>
      <scheme val="minor"/>
    </font>
  </fonts>
  <fills count="15">
    <fill>
      <patternFill patternType="none"/>
    </fill>
    <fill>
      <patternFill patternType="gray125"/>
    </fill>
    <fill>
      <patternFill patternType="solid">
        <fgColor rgb="FFFFFF00"/>
        <bgColor rgb="FFFFFF00"/>
      </patternFill>
    </fill>
    <fill>
      <patternFill patternType="solid">
        <fgColor rgb="FFF3F3F3"/>
        <bgColor rgb="FFF3F3F3"/>
      </patternFill>
    </fill>
    <fill>
      <patternFill patternType="solid">
        <fgColor rgb="FFEAD1DC"/>
        <bgColor rgb="FFEAD1DC"/>
      </patternFill>
    </fill>
    <fill>
      <patternFill patternType="solid">
        <fgColor rgb="FFFF0000"/>
        <bgColor rgb="FFFF0000"/>
      </patternFill>
    </fill>
    <fill>
      <patternFill patternType="solid">
        <fgColor rgb="FFD0E0E3"/>
        <bgColor rgb="FFD0E0E3"/>
      </patternFill>
    </fill>
    <fill>
      <patternFill patternType="solid">
        <fgColor rgb="FFD9EAD3"/>
        <bgColor rgb="FFD9EAD3"/>
      </patternFill>
    </fill>
    <fill>
      <patternFill patternType="solid">
        <fgColor rgb="FFFFFFFF"/>
        <bgColor rgb="FFFFFFFF"/>
      </patternFill>
    </fill>
    <fill>
      <patternFill patternType="solid">
        <fgColor rgb="FFF4F4F4"/>
        <bgColor rgb="FFF4F4F4"/>
      </patternFill>
    </fill>
    <fill>
      <patternFill patternType="solid">
        <fgColor rgb="FFFFF2CC"/>
        <bgColor rgb="FFFFF2CC"/>
      </patternFill>
    </fill>
    <fill>
      <patternFill patternType="solid">
        <fgColor rgb="FFCFE2F3"/>
        <bgColor rgb="FFCFE2F3"/>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s>
  <borders count="1">
    <border>
      <left/>
      <right/>
      <top/>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2" borderId="0" xfId="0" applyFont="1" applyFill="1"/>
    <xf numFmtId="0" fontId="4" fillId="2" borderId="0" xfId="0" applyFont="1" applyFill="1"/>
    <xf numFmtId="0" fontId="5" fillId="0" borderId="0" xfId="0" applyFont="1"/>
    <xf numFmtId="0" fontId="6" fillId="0" borderId="0" xfId="0" applyFont="1"/>
    <xf numFmtId="0" fontId="6" fillId="0" borderId="0" xfId="0" applyFont="1" applyAlignment="1">
      <alignment horizontal="right"/>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 fillId="0" borderId="0" xfId="0" applyFont="1" applyAlignment="1">
      <alignment horizontal="left"/>
    </xf>
    <xf numFmtId="0" fontId="3" fillId="0" borderId="0" xfId="0" applyFont="1" applyAlignment="1">
      <alignment horizontal="left"/>
    </xf>
    <xf numFmtId="0" fontId="3" fillId="3" borderId="0" xfId="0" applyFont="1" applyFill="1" applyAlignment="1">
      <alignment horizontal="left"/>
    </xf>
    <xf numFmtId="0" fontId="3" fillId="4" borderId="0" xfId="0" applyFont="1" applyFill="1" applyAlignment="1">
      <alignment horizontal="left"/>
    </xf>
    <xf numFmtId="0" fontId="4" fillId="4" borderId="0" xfId="0" applyFont="1" applyFill="1" applyAlignment="1">
      <alignment horizontal="left"/>
    </xf>
    <xf numFmtId="0" fontId="14" fillId="0" borderId="0" xfId="0" applyFont="1"/>
    <xf numFmtId="0" fontId="3" fillId="5" borderId="0" xfId="0" applyFont="1" applyFill="1" applyAlignment="1">
      <alignment horizontal="left"/>
    </xf>
    <xf numFmtId="0" fontId="4" fillId="5" borderId="0" xfId="0" applyFont="1" applyFill="1" applyAlignment="1">
      <alignment horizontal="left"/>
    </xf>
    <xf numFmtId="0" fontId="15" fillId="0" borderId="0" xfId="0" applyFont="1" applyAlignment="1">
      <alignment horizontal="left"/>
    </xf>
    <xf numFmtId="0" fontId="16" fillId="0" borderId="0" xfId="0" applyFont="1"/>
    <xf numFmtId="0" fontId="17" fillId="0" borderId="0" xfId="0" applyFont="1"/>
    <xf numFmtId="0" fontId="3" fillId="6" borderId="0" xfId="0" applyFont="1" applyFill="1" applyAlignment="1">
      <alignment horizontal="left"/>
    </xf>
    <xf numFmtId="0" fontId="4" fillId="6" borderId="0" xfId="0" applyFont="1" applyFill="1" applyAlignment="1">
      <alignment horizontal="left"/>
    </xf>
    <xf numFmtId="0" fontId="3" fillId="7" borderId="0" xfId="0" applyFont="1" applyFill="1" applyAlignment="1">
      <alignment horizontal="left"/>
    </xf>
    <xf numFmtId="0" fontId="4" fillId="7" borderId="0" xfId="0" applyFont="1" applyFill="1" applyAlignment="1">
      <alignment horizontal="left"/>
    </xf>
    <xf numFmtId="0" fontId="18" fillId="8" borderId="0" xfId="0" applyFont="1" applyFill="1"/>
    <xf numFmtId="0" fontId="19" fillId="9" borderId="0" xfId="0" applyFont="1" applyFill="1" applyAlignment="1">
      <alignment horizontal="left"/>
    </xf>
    <xf numFmtId="0" fontId="20" fillId="5" borderId="0" xfId="0" applyFont="1" applyFill="1"/>
    <xf numFmtId="0" fontId="21" fillId="5" borderId="0" xfId="0" applyFont="1" applyFill="1" applyAlignment="1">
      <alignment horizontal="left"/>
    </xf>
    <xf numFmtId="0" fontId="3" fillId="10" borderId="0" xfId="0" applyFont="1" applyFill="1" applyAlignment="1">
      <alignment horizontal="left"/>
    </xf>
    <xf numFmtId="0" fontId="3" fillId="5" borderId="0" xfId="0" applyFont="1" applyFill="1"/>
    <xf numFmtId="0" fontId="22" fillId="8" borderId="0" xfId="0" applyFont="1" applyFill="1" applyAlignment="1">
      <alignment horizontal="left"/>
    </xf>
    <xf numFmtId="0" fontId="4" fillId="0" borderId="0" xfId="0" applyFont="1" applyAlignment="1">
      <alignment horizontal="left"/>
    </xf>
    <xf numFmtId="0" fontId="4" fillId="10" borderId="0" xfId="0" applyFont="1" applyFill="1" applyAlignment="1">
      <alignment horizontal="left"/>
    </xf>
    <xf numFmtId="0" fontId="3" fillId="11" borderId="0" xfId="0" applyFont="1" applyFill="1" applyAlignment="1">
      <alignment horizontal="left"/>
    </xf>
    <xf numFmtId="0" fontId="4" fillId="11" borderId="0" xfId="0" applyFont="1" applyFill="1" applyAlignment="1">
      <alignment horizontal="left"/>
    </xf>
    <xf numFmtId="0" fontId="3" fillId="12" borderId="0" xfId="0" applyFont="1" applyFill="1" applyAlignment="1">
      <alignment horizontal="left"/>
    </xf>
    <xf numFmtId="0" fontId="4" fillId="12" borderId="0" xfId="0" applyFont="1" applyFill="1" applyAlignment="1">
      <alignment horizontal="left"/>
    </xf>
    <xf numFmtId="0" fontId="23" fillId="8" borderId="0" xfId="0" applyFont="1" applyFill="1"/>
    <xf numFmtId="0" fontId="24" fillId="0" borderId="0" xfId="0" applyFont="1"/>
    <xf numFmtId="0" fontId="25" fillId="0" borderId="0" xfId="0" applyFont="1"/>
    <xf numFmtId="0" fontId="3" fillId="13" borderId="0" xfId="0" applyFont="1" applyFill="1" applyAlignment="1">
      <alignment horizontal="left"/>
    </xf>
    <xf numFmtId="0" fontId="4" fillId="13" borderId="0" xfId="0" applyFont="1" applyFill="1" applyAlignment="1">
      <alignment horizontal="left"/>
    </xf>
    <xf numFmtId="0" fontId="26" fillId="5" borderId="0" xfId="0" applyFont="1" applyFill="1" applyAlignment="1">
      <alignment horizontal="left"/>
    </xf>
    <xf numFmtId="0" fontId="27" fillId="0" borderId="0" xfId="0" applyFont="1" applyAlignment="1">
      <alignment wrapText="1"/>
    </xf>
    <xf numFmtId="0" fontId="28" fillId="5" borderId="0" xfId="0" applyFont="1" applyFill="1" applyAlignment="1">
      <alignment wrapText="1"/>
    </xf>
    <xf numFmtId="0" fontId="3" fillId="14" borderId="0" xfId="0" applyFont="1" applyFill="1" applyAlignment="1">
      <alignment horizontal="left"/>
    </xf>
    <xf numFmtId="0" fontId="4" fillId="14" borderId="0" xfId="0" applyFont="1" applyFill="1" applyAlignment="1">
      <alignment horizontal="left"/>
    </xf>
    <xf numFmtId="0" fontId="29" fillId="8" borderId="0" xfId="0" applyFont="1" applyFill="1" applyAlignment="1">
      <alignment horizontal="left"/>
    </xf>
    <xf numFmtId="0" fontId="30" fillId="8" borderId="0" xfId="0" applyFont="1" applyFill="1"/>
    <xf numFmtId="0" fontId="31" fillId="8" borderId="0" xfId="0" applyFont="1" applyFill="1"/>
    <xf numFmtId="0" fontId="32" fillId="5" borderId="0" xfId="0" applyFont="1" applyFill="1" applyAlignment="1">
      <alignment horizontal="left"/>
    </xf>
    <xf numFmtId="0" fontId="33" fillId="8" borderId="0" xfId="0" applyFont="1" applyFill="1"/>
    <xf numFmtId="0" fontId="34" fillId="8" borderId="0" xfId="0" applyFont="1" applyFill="1" applyAlignment="1">
      <alignment wrapText="1"/>
    </xf>
    <xf numFmtId="0" fontId="35" fillId="8" borderId="0" xfId="0" applyFont="1" applyFill="1"/>
    <xf numFmtId="0" fontId="36" fillId="0" borderId="0" xfId="0" applyFont="1" applyAlignment="1">
      <alignment horizontal="left"/>
    </xf>
    <xf numFmtId="0" fontId="37" fillId="5" borderId="0" xfId="0" applyFont="1" applyFill="1"/>
    <xf numFmtId="0" fontId="38" fillId="0" borderId="0" xfId="0" applyFont="1"/>
    <xf numFmtId="0" fontId="39" fillId="8" borderId="0" xfId="0" applyFont="1" applyFill="1" applyAlignment="1">
      <alignment horizontal="left"/>
    </xf>
    <xf numFmtId="0" fontId="40" fillId="5" borderId="0" xfId="0" applyFont="1" applyFill="1" applyAlignment="1">
      <alignment horizontal="left"/>
    </xf>
    <xf numFmtId="0" fontId="41" fillId="0" borderId="0" xfId="0" applyFont="1" applyAlignment="1">
      <alignment horizontal="left"/>
    </xf>
    <xf numFmtId="0" fontId="42" fillId="4" borderId="0" xfId="0" applyFont="1" applyFill="1" applyAlignment="1">
      <alignment horizontal="left"/>
    </xf>
    <xf numFmtId="0" fontId="42" fillId="0" borderId="0" xfId="0" applyFont="1"/>
    <xf numFmtId="0" fontId="43" fillId="0" borderId="0" xfId="0" applyFont="1"/>
    <xf numFmtId="0" fontId="42" fillId="0" borderId="0" xfId="0" applyFont="1" applyAlignment="1">
      <alignment horizontal="left"/>
    </xf>
    <xf numFmtId="0" fontId="44" fillId="0" borderId="0" xfId="0" applyFont="1" applyAlignment="1">
      <alignment horizontal="left"/>
    </xf>
    <xf numFmtId="0" fontId="45" fillId="5" borderId="0" xfId="0" applyFont="1" applyFill="1" applyAlignment="1">
      <alignment horizontal="left"/>
    </xf>
    <xf numFmtId="0" fontId="46" fillId="0" borderId="0" xfId="0" applyFont="1"/>
    <xf numFmtId="0" fontId="45" fillId="0" borderId="0" xfId="0" applyFont="1"/>
  </cellXfs>
  <cellStyles count="1">
    <cellStyle name="Normal" xfId="0" builtinId="0"/>
  </cellStyles>
  <dxfs count="1">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02/cl2.1339" TargetMode="External"/><Relationship Id="rId18" Type="http://schemas.openxmlformats.org/officeDocument/2006/relationships/hyperlink" Target="https://doi.org/10.1002/cl2.1223" TargetMode="External"/><Relationship Id="rId26" Type="http://schemas.openxmlformats.org/officeDocument/2006/relationships/hyperlink" Target="https://doi.org/10.1002/cl2.1195" TargetMode="External"/><Relationship Id="rId21" Type="http://schemas.openxmlformats.org/officeDocument/2006/relationships/hyperlink" Target="https://doi.org/10.1002/cl2.1167" TargetMode="External"/><Relationship Id="rId34" Type="http://schemas.openxmlformats.org/officeDocument/2006/relationships/hyperlink" Target="http://doi.org/10.3390/f14050923" TargetMode="External"/><Relationship Id="rId7" Type="http://schemas.openxmlformats.org/officeDocument/2006/relationships/hyperlink" Target="http://doi.org/10.1002/14651858.CD005624.pub4" TargetMode="External"/><Relationship Id="rId12" Type="http://schemas.openxmlformats.org/officeDocument/2006/relationships/hyperlink" Target="http://doi.org/10.1002/14651858.CD004945.pub5" TargetMode="External"/><Relationship Id="rId17" Type="http://schemas.openxmlformats.org/officeDocument/2006/relationships/hyperlink" Target="https://doi.org/10.1002/cl2.1432" TargetMode="External"/><Relationship Id="rId25" Type="http://schemas.openxmlformats.org/officeDocument/2006/relationships/hyperlink" Target="https://doi.org/10.1002/cl2.1082" TargetMode="External"/><Relationship Id="rId33" Type="http://schemas.openxmlformats.org/officeDocument/2006/relationships/hyperlink" Target="http://doi.org/10.1016/j.ese.2020.100063" TargetMode="External"/><Relationship Id="rId38" Type="http://schemas.openxmlformats.org/officeDocument/2006/relationships/hyperlink" Target="http://doi.org/10.7717/peerj.10428" TargetMode="External"/><Relationship Id="rId2" Type="http://schemas.openxmlformats.org/officeDocument/2006/relationships/hyperlink" Target="http://doi.org/10.1002/14651858.CD003774.pub5" TargetMode="External"/><Relationship Id="rId16" Type="http://schemas.openxmlformats.org/officeDocument/2006/relationships/hyperlink" Target="https://doi.org/10.1002/cl2.1352" TargetMode="External"/><Relationship Id="rId20" Type="http://schemas.openxmlformats.org/officeDocument/2006/relationships/hyperlink" Target="https://doi.org/10.1002/cl2.1381" TargetMode="External"/><Relationship Id="rId29" Type="http://schemas.openxmlformats.org/officeDocument/2006/relationships/hyperlink" Target="https://doi.org/10.1002/cl2.1268" TargetMode="External"/><Relationship Id="rId1" Type="http://schemas.openxmlformats.org/officeDocument/2006/relationships/hyperlink" Target="http://doi.org/10.1002/14651858.CD014722.pub2" TargetMode="External"/><Relationship Id="rId6" Type="http://schemas.openxmlformats.org/officeDocument/2006/relationships/hyperlink" Target="http://doi.org/10.1002/14651858.CD006359.pub3" TargetMode="External"/><Relationship Id="rId11" Type="http://schemas.openxmlformats.org/officeDocument/2006/relationships/hyperlink" Target="http://doi.org/10.1002/14651858.CD003048.pub4" TargetMode="External"/><Relationship Id="rId24" Type="http://schemas.openxmlformats.org/officeDocument/2006/relationships/hyperlink" Target="https://doi.org/10.1002/cl2.1309" TargetMode="External"/><Relationship Id="rId32" Type="http://schemas.openxmlformats.org/officeDocument/2006/relationships/hyperlink" Target="http://doi.org/10.1016/j.scitotenv.2023.161860" TargetMode="External"/><Relationship Id="rId37" Type="http://schemas.openxmlformats.org/officeDocument/2006/relationships/hyperlink" Target="http://doi.org/10.1016/j.scitotenv.2020.137164" TargetMode="External"/><Relationship Id="rId5" Type="http://schemas.openxmlformats.org/officeDocument/2006/relationships/hyperlink" Target="http://doi.org/10.1002/14651858.CD004122.pub5" TargetMode="External"/><Relationship Id="rId15" Type="http://schemas.openxmlformats.org/officeDocument/2006/relationships/hyperlink" Target="https://doi.org/10.1002/cl2.1425" TargetMode="External"/><Relationship Id="rId23" Type="http://schemas.openxmlformats.org/officeDocument/2006/relationships/hyperlink" Target="https://doi.org/10.1002/cl2.1092" TargetMode="External"/><Relationship Id="rId28" Type="http://schemas.openxmlformats.org/officeDocument/2006/relationships/hyperlink" Target="https://doi.org/10.1002/cl2.1399" TargetMode="External"/><Relationship Id="rId36" Type="http://schemas.openxmlformats.org/officeDocument/2006/relationships/hyperlink" Target="http://doi.org/10.1007/s10342-022-01505-0" TargetMode="External"/><Relationship Id="rId10" Type="http://schemas.openxmlformats.org/officeDocument/2006/relationships/hyperlink" Target="http://doi.org/10.1002/14651858.CD002198.pub3" TargetMode="External"/><Relationship Id="rId19" Type="http://schemas.openxmlformats.org/officeDocument/2006/relationships/hyperlink" Target="https://doi.org/10.1002/cl2.1355" TargetMode="External"/><Relationship Id="rId31" Type="http://schemas.openxmlformats.org/officeDocument/2006/relationships/hyperlink" Target="http://doi.org/10.1016/j.scitotenv.2021.146045" TargetMode="External"/><Relationship Id="rId4" Type="http://schemas.openxmlformats.org/officeDocument/2006/relationships/hyperlink" Target="http://doi.org/10.1002/14651858.CD011708.pub2" TargetMode="External"/><Relationship Id="rId9" Type="http://schemas.openxmlformats.org/officeDocument/2006/relationships/hyperlink" Target="http://doi.org/10.1002/14651858.CD008359.pub3" TargetMode="External"/><Relationship Id="rId14" Type="http://schemas.openxmlformats.org/officeDocument/2006/relationships/hyperlink" Target="https://doi.org/10.1002/cl2.1429" TargetMode="External"/><Relationship Id="rId22" Type="http://schemas.openxmlformats.org/officeDocument/2006/relationships/hyperlink" Target="https://doi.org/10.1002/cl2.1134" TargetMode="External"/><Relationship Id="rId27" Type="http://schemas.openxmlformats.org/officeDocument/2006/relationships/hyperlink" Target="https://doi.org/10.1002/cl2.1330" TargetMode="External"/><Relationship Id="rId30" Type="http://schemas.openxmlformats.org/officeDocument/2006/relationships/hyperlink" Target="http://doi.org/10.1016/j.jenvman.2022.117065" TargetMode="External"/><Relationship Id="rId35" Type="http://schemas.openxmlformats.org/officeDocument/2006/relationships/hyperlink" Target="http://doi.org/10.1111/gcb.15043" TargetMode="External"/><Relationship Id="rId8" Type="http://schemas.openxmlformats.org/officeDocument/2006/relationships/hyperlink" Target="http://doi.org/10.1002/14651858.CD008106.pub4" TargetMode="External"/><Relationship Id="rId3" Type="http://schemas.openxmlformats.org/officeDocument/2006/relationships/hyperlink" Target="http://doi.org/10.1002/14651858.CD01408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EEWbtJNb4U93WqU_FvznPkU6b61ZjAEe/view?usp=drive_link" TargetMode="External"/><Relationship Id="rId13" Type="http://schemas.openxmlformats.org/officeDocument/2006/relationships/hyperlink" Target="https://doi.org/10.1002/cl2.1339" TargetMode="External"/><Relationship Id="rId18" Type="http://schemas.openxmlformats.org/officeDocument/2006/relationships/hyperlink" Target="https://drive.google.com/file/d/1yZ071ujeEOq9sSbxXA_3mlHYhvEMPRHF/view?usp=drive_link" TargetMode="External"/><Relationship Id="rId3" Type="http://schemas.openxmlformats.org/officeDocument/2006/relationships/hyperlink" Target="http://doi.org/10.1002/14651858.CD003774.pub5" TargetMode="External"/><Relationship Id="rId21" Type="http://schemas.openxmlformats.org/officeDocument/2006/relationships/hyperlink" Target="http://doi.org/10.3390/f14050923" TargetMode="External"/><Relationship Id="rId7" Type="http://schemas.openxmlformats.org/officeDocument/2006/relationships/hyperlink" Target="http://doi.org/10.1002/14651858.CD005624.pub4" TargetMode="External"/><Relationship Id="rId12" Type="http://schemas.openxmlformats.org/officeDocument/2006/relationships/hyperlink" Target="https://drive.google.com/file/d/1YKeruP9vZhu49C5Tdh9c4y1a1ZaVneeF/view?usp=drive_link" TargetMode="External"/><Relationship Id="rId17" Type="http://schemas.openxmlformats.org/officeDocument/2006/relationships/hyperlink" Target="https://doi.org/10.1002/cl2.1082" TargetMode="External"/><Relationship Id="rId2" Type="http://schemas.openxmlformats.org/officeDocument/2006/relationships/hyperlink" Target="https://drive.google.com/file/d/1OYxjX6kJ3v5BKdDAo87sjjZdpGKNc-o4/view?usp=drive_link" TargetMode="External"/><Relationship Id="rId16" Type="http://schemas.openxmlformats.org/officeDocument/2006/relationships/hyperlink" Target="https://drive.google.com/file/d/1rFEM4FpxL6YoXbEdTr1FO6MobXUH4XjN/view?usp=drive_link" TargetMode="External"/><Relationship Id="rId20" Type="http://schemas.openxmlformats.org/officeDocument/2006/relationships/hyperlink" Target="https://drive.google.com/file/d/1-SnoVv53vYJOFzWpyCYHP5F2fYSOUnc7/view?usp=drive_link" TargetMode="External"/><Relationship Id="rId1" Type="http://schemas.openxmlformats.org/officeDocument/2006/relationships/hyperlink" Target="http://doi.org/10.1002/14651858.CD014722.pub2" TargetMode="External"/><Relationship Id="rId6" Type="http://schemas.openxmlformats.org/officeDocument/2006/relationships/hyperlink" Target="https://drive.google.com/file/d/1QQJoHAcJ03BvIGj2KUNyaXCQmvwb1hrY/view?usp=drive_link" TargetMode="External"/><Relationship Id="rId11" Type="http://schemas.openxmlformats.org/officeDocument/2006/relationships/hyperlink" Target="http://doi.org/10.1002/14651858.CD004945.pub5" TargetMode="External"/><Relationship Id="rId24" Type="http://schemas.openxmlformats.org/officeDocument/2006/relationships/hyperlink" Target="https://drive.google.com/file/d/1cUglC-0WLCE8ZgEaBlv7fT_DKAsHEytB/view?usp=drive_link" TargetMode="External"/><Relationship Id="rId5" Type="http://schemas.openxmlformats.org/officeDocument/2006/relationships/hyperlink" Target="http://doi.org/10.1002/14651858.CD006359.pub3" TargetMode="External"/><Relationship Id="rId15" Type="http://schemas.openxmlformats.org/officeDocument/2006/relationships/hyperlink" Target="https://doi.org/10.1002/cl2.1223" TargetMode="External"/><Relationship Id="rId23" Type="http://schemas.openxmlformats.org/officeDocument/2006/relationships/hyperlink" Target="http://doi.org/10.7717/peerj.10428" TargetMode="External"/><Relationship Id="rId10" Type="http://schemas.openxmlformats.org/officeDocument/2006/relationships/hyperlink" Target="https://drive.google.com/file/d/1uDEW5d1g8C1Skw7ecxZFMRhGGMRTQkZA/view?usp=drive_link" TargetMode="External"/><Relationship Id="rId19" Type="http://schemas.openxmlformats.org/officeDocument/2006/relationships/hyperlink" Target="https://doi.org/10.1002/cl2.1195" TargetMode="External"/><Relationship Id="rId4" Type="http://schemas.openxmlformats.org/officeDocument/2006/relationships/hyperlink" Target="https://drive.google.com/file/d/1mZ3R61LsYcAs4wRVpNHO5TCfbE0eye4J/view?usp=drive_link" TargetMode="External"/><Relationship Id="rId9" Type="http://schemas.openxmlformats.org/officeDocument/2006/relationships/hyperlink" Target="http://doi.org/10.1002/14651858.CD003048.pub4" TargetMode="External"/><Relationship Id="rId14" Type="http://schemas.openxmlformats.org/officeDocument/2006/relationships/hyperlink" Target="https://drive.google.com/file/d/1t4BC7fHCJBxesDUZXHQpPziosLsNDAtL/view?usp=drive_link" TargetMode="External"/><Relationship Id="rId22" Type="http://schemas.openxmlformats.org/officeDocument/2006/relationships/hyperlink" Target="https://drive.google.com/file/d/1tKMm-Ku7E8lrHHaen-mMMopnscCzuzR7/view?usp=drive_link"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8502/ijrm.v13i5.7150" TargetMode="External"/><Relationship Id="rId21" Type="http://schemas.openxmlformats.org/officeDocument/2006/relationships/hyperlink" Target="https://doi.org/10.1016/j.ijnurstu.2019.103407" TargetMode="External"/><Relationship Id="rId324" Type="http://schemas.openxmlformats.org/officeDocument/2006/relationships/hyperlink" Target="https://doi.org/10.1901/jaba.1989.22-315" TargetMode="External"/><Relationship Id="rId170" Type="http://schemas.openxmlformats.org/officeDocument/2006/relationships/hyperlink" Target="https://doi.org/10.1097/mpg.0b013e31822b7ab0" TargetMode="External"/><Relationship Id="rId226" Type="http://schemas.openxmlformats.org/officeDocument/2006/relationships/hyperlink" Target="https://doi.org/10.1016/S0140-6736(75)92435-6" TargetMode="External"/><Relationship Id="rId433" Type="http://schemas.openxmlformats.org/officeDocument/2006/relationships/hyperlink" Target="https://doi.org/10.9770/jssi.2018.8.1(1)" TargetMode="External"/><Relationship Id="rId268" Type="http://schemas.openxmlformats.org/officeDocument/2006/relationships/hyperlink" Target="https://doi.org/10.1152/advan.00153.2019" TargetMode="External"/><Relationship Id="rId475" Type="http://schemas.openxmlformats.org/officeDocument/2006/relationships/hyperlink" Target="https://doi.org/10.1111/1365-2664.13687" TargetMode="External"/><Relationship Id="rId32" Type="http://schemas.openxmlformats.org/officeDocument/2006/relationships/hyperlink" Target="https://doi.org/10.1111/1467-8624.00343" TargetMode="External"/><Relationship Id="rId74" Type="http://schemas.openxmlformats.org/officeDocument/2006/relationships/hyperlink" Target="https://doi.org/10.1161/CIRCULATIONAHA.118.038192" TargetMode="External"/><Relationship Id="rId128" Type="http://schemas.openxmlformats.org/officeDocument/2006/relationships/hyperlink" Target="https://doi.org/10.1093/oxfordjournals.humrep.a138790" TargetMode="External"/><Relationship Id="rId335" Type="http://schemas.openxmlformats.org/officeDocument/2006/relationships/hyperlink" Target="https://doi.org/10.1177/093889828800302a04" TargetMode="External"/><Relationship Id="rId377" Type="http://schemas.openxmlformats.org/officeDocument/2006/relationships/hyperlink" Target="https://doi.org/10.1111/j.1740-8709.2008.00162.x" TargetMode="External"/><Relationship Id="rId500" Type="http://schemas.openxmlformats.org/officeDocument/2006/relationships/hyperlink" Target="https://doi.org/10.1007/s40333-018-0411-5?urlappend=%3Futm_source%3Dresearchgate.net%26utm_medium%3Darticle" TargetMode="External"/><Relationship Id="rId5" Type="http://schemas.openxmlformats.org/officeDocument/2006/relationships/hyperlink" Target="https://doi.org/10.1177/1533317514523668" TargetMode="External"/><Relationship Id="rId181" Type="http://schemas.openxmlformats.org/officeDocument/2006/relationships/hyperlink" Target="https://doi.org/10.1111/j.1365-2036.2012.05180.x" TargetMode="External"/><Relationship Id="rId237" Type="http://schemas.openxmlformats.org/officeDocument/2006/relationships/hyperlink" Target="https://doi.org/10.1097/aog.0000000000001154" TargetMode="External"/><Relationship Id="rId402" Type="http://schemas.openxmlformats.org/officeDocument/2006/relationships/hyperlink" Target="https://doi.org/10.1111/1745-9133.12466" TargetMode="External"/><Relationship Id="rId279" Type="http://schemas.openxmlformats.org/officeDocument/2006/relationships/hyperlink" Target="https://doi.org/10.7759/cureus.11408" TargetMode="External"/><Relationship Id="rId444" Type="http://schemas.openxmlformats.org/officeDocument/2006/relationships/hyperlink" Target="https://doi.org/10.1016/j.foreco.2007.09.083" TargetMode="External"/><Relationship Id="rId486" Type="http://schemas.openxmlformats.org/officeDocument/2006/relationships/hyperlink" Target="https://doi.org/10.1016/S0929-1393(02)00136-1" TargetMode="External"/><Relationship Id="rId43" Type="http://schemas.openxmlformats.org/officeDocument/2006/relationships/hyperlink" Target="https://doi.org/10.1080/17439760.2019.1590624" TargetMode="External"/><Relationship Id="rId139" Type="http://schemas.openxmlformats.org/officeDocument/2006/relationships/hyperlink" Target="https://doi.org/10.1258/phleb.2011.011147" TargetMode="External"/><Relationship Id="rId290" Type="http://schemas.openxmlformats.org/officeDocument/2006/relationships/hyperlink" Target="https://doi.org/10.1177/10983007030050040701" TargetMode="External"/><Relationship Id="rId304" Type="http://schemas.openxmlformats.org/officeDocument/2006/relationships/hyperlink" Target="https://doi.org/10.1177/215416471204700204" TargetMode="External"/><Relationship Id="rId346" Type="http://schemas.openxmlformats.org/officeDocument/2006/relationships/hyperlink" Target="https://doi.org/10.1080/1045988x.2020.1811625" TargetMode="External"/><Relationship Id="rId388" Type="http://schemas.openxmlformats.org/officeDocument/2006/relationships/hyperlink" Target="https://doi.org/10.3945/jn.110.122499" TargetMode="External"/><Relationship Id="rId511" Type="http://schemas.openxmlformats.org/officeDocument/2006/relationships/hyperlink" Target="https://doi.org/10.1016/j.jaridenv.2008.12.002" TargetMode="External"/><Relationship Id="rId85" Type="http://schemas.openxmlformats.org/officeDocument/2006/relationships/hyperlink" Target="https://doi.org/10.1371/journal.pone.0084867" TargetMode="External"/><Relationship Id="rId150" Type="http://schemas.openxmlformats.org/officeDocument/2006/relationships/hyperlink" Target="https://doi.org/10.1016/j.jvs.2007.03.053" TargetMode="External"/><Relationship Id="rId192" Type="http://schemas.openxmlformats.org/officeDocument/2006/relationships/hyperlink" Target="https://doi.org/10.1111/j.1651-2227.2005.tb01786.x" TargetMode="External"/><Relationship Id="rId206" Type="http://schemas.openxmlformats.org/officeDocument/2006/relationships/hyperlink" Target="https://doi.org/10.1056/nejmoa1802598" TargetMode="External"/><Relationship Id="rId413" Type="http://schemas.openxmlformats.org/officeDocument/2006/relationships/hyperlink" Target="https://doi.org/10.1111/1556-4029.14793" TargetMode="External"/><Relationship Id="rId248" Type="http://schemas.openxmlformats.org/officeDocument/2006/relationships/hyperlink" Target="https://doi.org/10.5688/ajpe81470" TargetMode="External"/><Relationship Id="rId455" Type="http://schemas.openxmlformats.org/officeDocument/2006/relationships/hyperlink" Target="https://doi.org/10.1139/x03-284" TargetMode="External"/><Relationship Id="rId497" Type="http://schemas.openxmlformats.org/officeDocument/2006/relationships/hyperlink" Target="https://doi.org/10.1111/j.1526-100X.2009.00595.x" TargetMode="External"/><Relationship Id="rId12" Type="http://schemas.openxmlformats.org/officeDocument/2006/relationships/hyperlink" Target="https://doi.org/10.1016/j.jad.2021.06.002" TargetMode="External"/><Relationship Id="rId108" Type="http://schemas.openxmlformats.org/officeDocument/2006/relationships/hyperlink" Target="https://doi.org/10.1016/j.jtumed.2014.08.003" TargetMode="External"/><Relationship Id="rId315" Type="http://schemas.openxmlformats.org/officeDocument/2006/relationships/hyperlink" Target="https://doi.org/10.1080/0144341890090305" TargetMode="External"/><Relationship Id="rId357" Type="http://schemas.openxmlformats.org/officeDocument/2006/relationships/hyperlink" Target="https://doi.org/10.3945/jn.112.168047" TargetMode="External"/><Relationship Id="rId54" Type="http://schemas.openxmlformats.org/officeDocument/2006/relationships/hyperlink" Target="https://doi.org/10.3399/bjgpopen18x101593" TargetMode="External"/><Relationship Id="rId96" Type="http://schemas.openxmlformats.org/officeDocument/2006/relationships/hyperlink" Target="https://doi.org/10.1590/0034-7167-2016-0353" TargetMode="External"/><Relationship Id="rId161" Type="http://schemas.openxmlformats.org/officeDocument/2006/relationships/hyperlink" Target="https://doi.org/10.1097/mcg.0b013e31815a5780" TargetMode="External"/><Relationship Id="rId217" Type="http://schemas.openxmlformats.org/officeDocument/2006/relationships/hyperlink" Target="https://doi.org/10.1111/j.1651-2227.2007.00191.x" TargetMode="External"/><Relationship Id="rId399" Type="http://schemas.openxmlformats.org/officeDocument/2006/relationships/hyperlink" Target="https://doi.org/10.1111/1556-4029.13985" TargetMode="External"/><Relationship Id="rId259" Type="http://schemas.openxmlformats.org/officeDocument/2006/relationships/hyperlink" Target="https://doi.org/10.1097/acm.0000000000001085" TargetMode="External"/><Relationship Id="rId424" Type="http://schemas.openxmlformats.org/officeDocument/2006/relationships/hyperlink" Target="https://doi.org/10.1080/09546553.2020.1821668" TargetMode="External"/><Relationship Id="rId466" Type="http://schemas.openxmlformats.org/officeDocument/2006/relationships/hyperlink" Target="https://doi.org/10.1016/j.soilbio.2019.02.021" TargetMode="External"/><Relationship Id="rId23" Type="http://schemas.openxmlformats.org/officeDocument/2006/relationships/hyperlink" Target="https://doi.org/10.1186/s12905-019-0744-z" TargetMode="External"/><Relationship Id="rId119" Type="http://schemas.openxmlformats.org/officeDocument/2006/relationships/hyperlink" Target="https://doi.org/10.1093/humrep/deh183" TargetMode="External"/><Relationship Id="rId270" Type="http://schemas.openxmlformats.org/officeDocument/2006/relationships/hyperlink" Target="https://doi.org/10.1186/s12909-019-1714-8" TargetMode="External"/><Relationship Id="rId326" Type="http://schemas.openxmlformats.org/officeDocument/2006/relationships/hyperlink" Target="https://doi.org/10.1007/bf00961546" TargetMode="External"/><Relationship Id="rId65" Type="http://schemas.openxmlformats.org/officeDocument/2006/relationships/hyperlink" Target="https://doi.org/10.1111/jan.12624" TargetMode="External"/><Relationship Id="rId130" Type="http://schemas.openxmlformats.org/officeDocument/2006/relationships/hyperlink" Target="https://doi.org/10.18502/ijrm.v17i12.5793" TargetMode="External"/><Relationship Id="rId368" Type="http://schemas.openxmlformats.org/officeDocument/2006/relationships/hyperlink" Target="https://doi.org/10.3945/ajcn.111.022525" TargetMode="External"/><Relationship Id="rId172" Type="http://schemas.openxmlformats.org/officeDocument/2006/relationships/hyperlink" Target="https://doi.org/10.1111/j.1442-200x.2011.03325.x" TargetMode="External"/><Relationship Id="rId228" Type="http://schemas.openxmlformats.org/officeDocument/2006/relationships/hyperlink" Target="https://doi.org/10.1159/000293605" TargetMode="External"/><Relationship Id="rId435" Type="http://schemas.openxmlformats.org/officeDocument/2006/relationships/hyperlink" Target="https://doi.org/10.1016/S1002-0160(15)60099-6" TargetMode="External"/><Relationship Id="rId477" Type="http://schemas.openxmlformats.org/officeDocument/2006/relationships/hyperlink" Target="https://doi.org/10.1016/j.foreco.2008.01.019" TargetMode="External"/><Relationship Id="rId281" Type="http://schemas.openxmlformats.org/officeDocument/2006/relationships/hyperlink" Target="https://doi.org/10.5688/ajpe7810185" TargetMode="External"/><Relationship Id="rId337" Type="http://schemas.openxmlformats.org/officeDocument/2006/relationships/hyperlink" Target="https://doi.org/10.1177/1098300718773462" TargetMode="External"/><Relationship Id="rId502" Type="http://schemas.openxmlformats.org/officeDocument/2006/relationships/hyperlink" Target="https://doi.org/10.1016/j.ecolind.2016.02.019" TargetMode="External"/><Relationship Id="rId34" Type="http://schemas.openxmlformats.org/officeDocument/2006/relationships/hyperlink" Target="https://doi.org/10.1080/03601277.2012.701157" TargetMode="External"/><Relationship Id="rId76" Type="http://schemas.openxmlformats.org/officeDocument/2006/relationships/hyperlink" Target="https://doi.org/10.1111/j.1365-2214.2008.00897.x" TargetMode="External"/><Relationship Id="rId141" Type="http://schemas.openxmlformats.org/officeDocument/2006/relationships/hyperlink" Target="https://doi.org/10.1177/0003319710380680" TargetMode="External"/><Relationship Id="rId379" Type="http://schemas.openxmlformats.org/officeDocument/2006/relationships/hyperlink" Target="https://doi.org/10.1097/00005176-200408000-00003" TargetMode="External"/><Relationship Id="rId7" Type="http://schemas.openxmlformats.org/officeDocument/2006/relationships/hyperlink" Target="https://doi.org/10.1136/bmj.g5785" TargetMode="External"/><Relationship Id="rId183" Type="http://schemas.openxmlformats.org/officeDocument/2006/relationships/hyperlink" Target="https://doi.org/10.1097/00005176-200001000-00018" TargetMode="External"/><Relationship Id="rId239" Type="http://schemas.openxmlformats.org/officeDocument/2006/relationships/hyperlink" Target="https://doi.org/10.1080/14767050500139604" TargetMode="External"/><Relationship Id="rId390" Type="http://schemas.openxmlformats.org/officeDocument/2006/relationships/hyperlink" Target="https://doi.org/10.1186/s12887-017-0860-6" TargetMode="External"/><Relationship Id="rId404" Type="http://schemas.openxmlformats.org/officeDocument/2006/relationships/hyperlink" Target="https://psycnet.apa.org/doi/10.1080/1068316X.2018.1503664" TargetMode="External"/><Relationship Id="rId446" Type="http://schemas.openxmlformats.org/officeDocument/2006/relationships/hyperlink" Target="https://doi.org/10.1016/j.pedobi.2005.12.003" TargetMode="External"/><Relationship Id="rId250" Type="http://schemas.openxmlformats.org/officeDocument/2006/relationships/hyperlink" Target="https://doi.org/10.1016/j.jsurg.2017.07.007" TargetMode="External"/><Relationship Id="rId292" Type="http://schemas.openxmlformats.org/officeDocument/2006/relationships/hyperlink" Target="https://doi.org/10.1177/183693911003500406" TargetMode="External"/><Relationship Id="rId306" Type="http://schemas.openxmlformats.org/officeDocument/2006/relationships/hyperlink" Target="https://doi.org/10.1023/a:1022183430622" TargetMode="External"/><Relationship Id="rId488" Type="http://schemas.openxmlformats.org/officeDocument/2006/relationships/hyperlink" Target="https://doi.org/10.1016/j.scitotenv.2015.09.108" TargetMode="External"/><Relationship Id="rId45" Type="http://schemas.openxmlformats.org/officeDocument/2006/relationships/hyperlink" Target="https://doi.org/10.1007/s00038-018-1101-y" TargetMode="External"/><Relationship Id="rId87" Type="http://schemas.openxmlformats.org/officeDocument/2006/relationships/hyperlink" Target="https://doi.org/10.1136/bmjopen-2020-040287" TargetMode="External"/><Relationship Id="rId110" Type="http://schemas.openxmlformats.org/officeDocument/2006/relationships/hyperlink" Target="https://doi.org/10.4274/tjod.47855" TargetMode="External"/><Relationship Id="rId348" Type="http://schemas.openxmlformats.org/officeDocument/2006/relationships/hyperlink" Target="https://doi.org/10.1007/s10802-010-9398-x" TargetMode="External"/><Relationship Id="rId513" Type="http://schemas.openxmlformats.org/officeDocument/2006/relationships/hyperlink" Target="https://doi.org/10.1046/j.1526-100X.2003.00222.x" TargetMode="External"/><Relationship Id="rId152" Type="http://schemas.openxmlformats.org/officeDocument/2006/relationships/hyperlink" Target="https://doi.org/10.1067/mva.2002.123096" TargetMode="External"/><Relationship Id="rId194" Type="http://schemas.openxmlformats.org/officeDocument/2006/relationships/hyperlink" Target="https://doi.org/10.1007/s12098-008-0134-2" TargetMode="External"/><Relationship Id="rId208" Type="http://schemas.openxmlformats.org/officeDocument/2006/relationships/hyperlink" Target="https://doi.org/10.1097/00006454-199712000-00002" TargetMode="External"/><Relationship Id="rId415" Type="http://schemas.openxmlformats.org/officeDocument/2006/relationships/hyperlink" Target="https://doi.org/10.1111/1745-9133.12009" TargetMode="External"/><Relationship Id="rId457" Type="http://schemas.openxmlformats.org/officeDocument/2006/relationships/hyperlink" Target="https://doi.org/10.1023/A:1021289509500?urlappend=%3Futm_source%3Dresearchgate.net%26utm_medium%3Darticle" TargetMode="External"/><Relationship Id="rId261" Type="http://schemas.openxmlformats.org/officeDocument/2006/relationships/hyperlink" Target="https://doi.org/10.3205/zma001108" TargetMode="External"/><Relationship Id="rId499" Type="http://schemas.openxmlformats.org/officeDocument/2006/relationships/hyperlink" Target="https://doi.org/10.1890/02-5296" TargetMode="External"/><Relationship Id="rId14" Type="http://schemas.openxmlformats.org/officeDocument/2006/relationships/hyperlink" Target="https://doi.org/10.1177/1363461518793749" TargetMode="External"/><Relationship Id="rId56" Type="http://schemas.openxmlformats.org/officeDocument/2006/relationships/hyperlink" Target="https://doi.org/10.1016/j.chiabu.2017.08.014" TargetMode="External"/><Relationship Id="rId317" Type="http://schemas.openxmlformats.org/officeDocument/2006/relationships/hyperlink" Target="https://doi.org/10.1007/s10864-019-09346-5" TargetMode="External"/><Relationship Id="rId359" Type="http://schemas.openxmlformats.org/officeDocument/2006/relationships/hyperlink" Target="https://doi.org/10.1093/ajcn/81.4.864" TargetMode="External"/><Relationship Id="rId98" Type="http://schemas.openxmlformats.org/officeDocument/2006/relationships/hyperlink" Target="https://doi.org/10.1016/s0140-6736(04)17021-9" TargetMode="External"/><Relationship Id="rId121" Type="http://schemas.openxmlformats.org/officeDocument/2006/relationships/hyperlink" Target="https://doi.org/10.1007/s10815-016-0736-y" TargetMode="External"/><Relationship Id="rId163" Type="http://schemas.openxmlformats.org/officeDocument/2006/relationships/hyperlink" Target="https://doi.org/10.1016/s0022-3476(98)70398-1" TargetMode="External"/><Relationship Id="rId219" Type="http://schemas.openxmlformats.org/officeDocument/2006/relationships/hyperlink" Target="https://doi.org/10.7499/j.issn.1008-8830.2013.11.018" TargetMode="External"/><Relationship Id="rId370" Type="http://schemas.openxmlformats.org/officeDocument/2006/relationships/hyperlink" Target="https://doi.org/10.3945/jn.108.104018" TargetMode="External"/><Relationship Id="rId426" Type="http://schemas.openxmlformats.org/officeDocument/2006/relationships/hyperlink" Target="https://doi.org/10.1037/tam0000119?urlappend=%3Futm_source%3Dresearchgate.net%26utm_medium%3Darticle" TargetMode="External"/><Relationship Id="rId230" Type="http://schemas.openxmlformats.org/officeDocument/2006/relationships/hyperlink" Target="https://doi.org/10.1056/nejmoa1800566" TargetMode="External"/><Relationship Id="rId468" Type="http://schemas.openxmlformats.org/officeDocument/2006/relationships/hyperlink" Target="https://doi.org/10.2307/1936676" TargetMode="External"/><Relationship Id="rId25" Type="http://schemas.openxmlformats.org/officeDocument/2006/relationships/hyperlink" Target="https://doi.org/10.29252/ANM.27792" TargetMode="External"/><Relationship Id="rId67" Type="http://schemas.openxmlformats.org/officeDocument/2006/relationships/hyperlink" Target="https://doi.org/10.1016/j.chiabu.2020.104512" TargetMode="External"/><Relationship Id="rId272" Type="http://schemas.openxmlformats.org/officeDocument/2006/relationships/hyperlink" Target="https://doi.org/10.1186/s12909-020-1946-7" TargetMode="External"/><Relationship Id="rId328" Type="http://schemas.openxmlformats.org/officeDocument/2006/relationships/hyperlink" Target="https://doi.org/10.1080/00220671.1995.9941315" TargetMode="External"/><Relationship Id="rId132" Type="http://schemas.openxmlformats.org/officeDocument/2006/relationships/hyperlink" Target="https://doi.org/10.29252/ijrm.16.1.51" TargetMode="External"/><Relationship Id="rId174" Type="http://schemas.openxmlformats.org/officeDocument/2006/relationships/hyperlink" Target="https://doi.org/10.1111/apa.12617" TargetMode="External"/><Relationship Id="rId381" Type="http://schemas.openxmlformats.org/officeDocument/2006/relationships/hyperlink" Target="https://doi.org/10.1371/journal.pone.0033112" TargetMode="External"/><Relationship Id="rId241" Type="http://schemas.openxmlformats.org/officeDocument/2006/relationships/hyperlink" Target="https://doi.org/10.1016/s0368-2315(05)82853-4" TargetMode="External"/><Relationship Id="rId437" Type="http://schemas.openxmlformats.org/officeDocument/2006/relationships/hyperlink" Target="https://doi.org/10.1139/X06-310" TargetMode="External"/><Relationship Id="rId479" Type="http://schemas.openxmlformats.org/officeDocument/2006/relationships/hyperlink" Target="https://doi.org/10.1016/j.catena.2015.04.012" TargetMode="External"/><Relationship Id="rId36" Type="http://schemas.openxmlformats.org/officeDocument/2006/relationships/hyperlink" Target="https://doi.org/10.4103/ijoy.ijoy_57_17" TargetMode="External"/><Relationship Id="rId283" Type="http://schemas.openxmlformats.org/officeDocument/2006/relationships/hyperlink" Target="https://doi.org/10.1017/dmp.2020.162" TargetMode="External"/><Relationship Id="rId339" Type="http://schemas.openxmlformats.org/officeDocument/2006/relationships/hyperlink" Target="https://doi.org/10.1177/10983007060080040301" TargetMode="External"/><Relationship Id="rId490" Type="http://schemas.openxmlformats.org/officeDocument/2006/relationships/hyperlink" Target="https://doi.org/10.1016/j.scitotenv.2017.08.018" TargetMode="External"/><Relationship Id="rId504" Type="http://schemas.openxmlformats.org/officeDocument/2006/relationships/hyperlink" Target="https://doi.org/10.1007/s40333-013-0207-6?urlappend=%3Futm_source%3Dresearchgate.net%26utm_medium%3Darticle" TargetMode="External"/><Relationship Id="rId78" Type="http://schemas.openxmlformats.org/officeDocument/2006/relationships/hyperlink" Target="https://doi.org/10.1080/02646838.2016.1266470" TargetMode="External"/><Relationship Id="rId101" Type="http://schemas.openxmlformats.org/officeDocument/2006/relationships/hyperlink" Target="https://doi.org/10.1080/13803611.2015.1111804" TargetMode="External"/><Relationship Id="rId143" Type="http://schemas.openxmlformats.org/officeDocument/2006/relationships/hyperlink" Target="https://doi.org/10.1177/0268355516651026" TargetMode="External"/><Relationship Id="rId185" Type="http://schemas.openxmlformats.org/officeDocument/2006/relationships/hyperlink" Target="https://doi.org/10.3329/cmoshmcj.v18i1.42128" TargetMode="External"/><Relationship Id="rId350" Type="http://schemas.openxmlformats.org/officeDocument/2006/relationships/hyperlink" Target="https://doi.org/10.1016/s0140-6736(94)92885-1" TargetMode="External"/><Relationship Id="rId406" Type="http://schemas.openxmlformats.org/officeDocument/2006/relationships/hyperlink" Target="https://doi.org/10.1177/13634615211023669" TargetMode="External"/><Relationship Id="rId9" Type="http://schemas.openxmlformats.org/officeDocument/2006/relationships/hyperlink" Target="https://doi.org/10.3390/ijerph16152797" TargetMode="External"/><Relationship Id="rId210" Type="http://schemas.openxmlformats.org/officeDocument/2006/relationships/hyperlink" Target="https://doi.org/10.5897/JCMR12.014" TargetMode="External"/><Relationship Id="rId392" Type="http://schemas.openxmlformats.org/officeDocument/2006/relationships/hyperlink" Target="https://doi.org/10.3233/dev-180255" TargetMode="External"/><Relationship Id="rId448" Type="http://schemas.openxmlformats.org/officeDocument/2006/relationships/hyperlink" Target="https://doi.org/10.1016/j.foreco.2015.09.041" TargetMode="External"/><Relationship Id="rId252" Type="http://schemas.openxmlformats.org/officeDocument/2006/relationships/hyperlink" Target="https://doi.org/10.1371/journal.pone.0210606" TargetMode="External"/><Relationship Id="rId294" Type="http://schemas.openxmlformats.org/officeDocument/2006/relationships/hyperlink" Target="https://doi.org/10.1002/pits.21679" TargetMode="External"/><Relationship Id="rId308" Type="http://schemas.openxmlformats.org/officeDocument/2006/relationships/hyperlink" Target="https://doi.org/10.1177/10634266211051404" TargetMode="External"/><Relationship Id="rId515" Type="http://schemas.openxmlformats.org/officeDocument/2006/relationships/hyperlink" Target="https://doi.org/10.1111/rec.12961" TargetMode="External"/><Relationship Id="rId47" Type="http://schemas.openxmlformats.org/officeDocument/2006/relationships/hyperlink" Target="https://doi.org/10.1080/01443410.2021.1922611" TargetMode="External"/><Relationship Id="rId89" Type="http://schemas.openxmlformats.org/officeDocument/2006/relationships/hyperlink" Target="https://doi.org/10.1016/j.socscimed.2008.09.061" TargetMode="External"/><Relationship Id="rId112" Type="http://schemas.openxmlformats.org/officeDocument/2006/relationships/hyperlink" Target="https://doi.org/10.1016/s0015-0282(16)58405-2" TargetMode="External"/><Relationship Id="rId154" Type="http://schemas.openxmlformats.org/officeDocument/2006/relationships/hyperlink" Target="about:blank" TargetMode="External"/><Relationship Id="rId361" Type="http://schemas.openxmlformats.org/officeDocument/2006/relationships/hyperlink" Target="https://doi.org/10.1093/ajcn/68.6.1254" TargetMode="External"/><Relationship Id="rId196" Type="http://schemas.openxmlformats.org/officeDocument/2006/relationships/hyperlink" Target="https://doi.org/10.1177/147323000703500204" TargetMode="External"/><Relationship Id="rId417" Type="http://schemas.openxmlformats.org/officeDocument/2006/relationships/hyperlink" Target="https://doi.org/10.5038/1944-0472.12.4.1736" TargetMode="External"/><Relationship Id="rId459" Type="http://schemas.openxmlformats.org/officeDocument/2006/relationships/hyperlink" Target="https://ui.adsabs.harvard.edu/link_gateway/2006Ecogr..29..659M/doi:10.1111/j.2006.0906-7590.04562.x" TargetMode="External"/><Relationship Id="rId16" Type="http://schemas.openxmlformats.org/officeDocument/2006/relationships/hyperlink" Target="https://doi.org/10.1111/jcpp.12729" TargetMode="External"/><Relationship Id="rId221" Type="http://schemas.openxmlformats.org/officeDocument/2006/relationships/hyperlink" Target="https://doi.org/10.1016/j.ejogrb.2017.08.038" TargetMode="External"/><Relationship Id="rId263" Type="http://schemas.openxmlformats.org/officeDocument/2006/relationships/hyperlink" Target="https://doi.org/10.5480/13-1255" TargetMode="External"/><Relationship Id="rId319" Type="http://schemas.openxmlformats.org/officeDocument/2006/relationships/hyperlink" Target="https://doi.org/10.1037/spq0000162" TargetMode="External"/><Relationship Id="rId470" Type="http://schemas.openxmlformats.org/officeDocument/2006/relationships/hyperlink" Target="https://doi.org/10.2307/2403472" TargetMode="External"/><Relationship Id="rId58" Type="http://schemas.openxmlformats.org/officeDocument/2006/relationships/hyperlink" Target="https://doi.org/10.1016/0277-9536(95)00262-6" TargetMode="External"/><Relationship Id="rId123" Type="http://schemas.openxmlformats.org/officeDocument/2006/relationships/hyperlink" Target="https://doi.org/10.1007/s10815-018-1380-5" TargetMode="External"/><Relationship Id="rId330" Type="http://schemas.openxmlformats.org/officeDocument/2006/relationships/hyperlink" Target="https://doi.org/10.1007/s10864-013-9180-6" TargetMode="External"/><Relationship Id="rId165" Type="http://schemas.openxmlformats.org/officeDocument/2006/relationships/hyperlink" Target="https://doi.org/10.1097/00005176-200109000-00015" TargetMode="External"/><Relationship Id="rId372" Type="http://schemas.openxmlformats.org/officeDocument/2006/relationships/hyperlink" Target="https://doi.org/10.1017/s1368980015001238" TargetMode="External"/><Relationship Id="rId428" Type="http://schemas.openxmlformats.org/officeDocument/2006/relationships/hyperlink" Target="https://doi.org/10.1080/09546553.2019.1663828" TargetMode="External"/><Relationship Id="rId232" Type="http://schemas.openxmlformats.org/officeDocument/2006/relationships/hyperlink" Target="https://doi.org/10.1097/01.aog.0000255665.77009.94" TargetMode="External"/><Relationship Id="rId274" Type="http://schemas.openxmlformats.org/officeDocument/2006/relationships/hyperlink" Target="https://doi.org/10.1111/eje.12467" TargetMode="External"/><Relationship Id="rId481" Type="http://schemas.openxmlformats.org/officeDocument/2006/relationships/hyperlink" Target="https://doi.org/10.1016/j.ecoleng.2014.09.092" TargetMode="External"/><Relationship Id="rId27" Type="http://schemas.openxmlformats.org/officeDocument/2006/relationships/hyperlink" Target="https://doi.org/10.1371/journal.pone.0223046" TargetMode="External"/><Relationship Id="rId69" Type="http://schemas.openxmlformats.org/officeDocument/2006/relationships/hyperlink" Target="https://doi.org/10.1097/wad.0000000000000256" TargetMode="External"/><Relationship Id="rId134" Type="http://schemas.openxmlformats.org/officeDocument/2006/relationships/hyperlink" Target="https://doi.org/10.1016/j.fertnstert.2009.07.1654" TargetMode="External"/><Relationship Id="rId80" Type="http://schemas.openxmlformats.org/officeDocument/2006/relationships/hyperlink" Target="https://doi.org/10.1111/j.1475-3588.2010.00584.x" TargetMode="External"/><Relationship Id="rId176" Type="http://schemas.openxmlformats.org/officeDocument/2006/relationships/hyperlink" Target="https://doi.org/10.3920/bm2014.0086" TargetMode="External"/><Relationship Id="rId341" Type="http://schemas.openxmlformats.org/officeDocument/2006/relationships/hyperlink" Target="https://doi.org/10.1007/s10864-016-9253-4" TargetMode="External"/><Relationship Id="rId383" Type="http://schemas.openxmlformats.org/officeDocument/2006/relationships/hyperlink" Target="https://doi.org/10.1093/tropej/fmt039" TargetMode="External"/><Relationship Id="rId439" Type="http://schemas.openxmlformats.org/officeDocument/2006/relationships/hyperlink" Target="https://doi.org/10.1016/j.biocon.2003.08.015" TargetMode="External"/><Relationship Id="rId201" Type="http://schemas.openxmlformats.org/officeDocument/2006/relationships/hyperlink" Target="https://doi.org/10.1007/s12098-011-0573-z" TargetMode="External"/><Relationship Id="rId243" Type="http://schemas.openxmlformats.org/officeDocument/2006/relationships/hyperlink" Target="https://doi.org/10.1186/s12884-019-2602-2" TargetMode="External"/><Relationship Id="rId285" Type="http://schemas.openxmlformats.org/officeDocument/2006/relationships/hyperlink" Target="https://doi.org/10.1016/j.cptl.2014.02.017" TargetMode="External"/><Relationship Id="rId450" Type="http://schemas.openxmlformats.org/officeDocument/2006/relationships/hyperlink" Target="https://doi.org/10.1016/j.foreco.2011.04.002" TargetMode="External"/><Relationship Id="rId506" Type="http://schemas.openxmlformats.org/officeDocument/2006/relationships/hyperlink" Target="https://doi.org/10.1111/1365-2664.12220" TargetMode="External"/><Relationship Id="rId38" Type="http://schemas.openxmlformats.org/officeDocument/2006/relationships/hyperlink" Target="https://doi.org/10.1016/j.ijnurstu.2014.06.006" TargetMode="External"/><Relationship Id="rId103" Type="http://schemas.openxmlformats.org/officeDocument/2006/relationships/hyperlink" Target="https://doi.org/10.1186/s12889-019-6447-4" TargetMode="External"/><Relationship Id="rId310" Type="http://schemas.openxmlformats.org/officeDocument/2006/relationships/hyperlink" Target="https://doi.org/10.1080/02796015.2007.12087923" TargetMode="External"/><Relationship Id="rId492" Type="http://schemas.openxmlformats.org/officeDocument/2006/relationships/hyperlink" Target="https://doi.org/10.1016/j.ecoleng.2015.03.012" TargetMode="External"/><Relationship Id="rId91" Type="http://schemas.openxmlformats.org/officeDocument/2006/relationships/hyperlink" Target="https://doi.org/10.1016/s2214-109x(15)00099-6" TargetMode="External"/><Relationship Id="rId145" Type="http://schemas.openxmlformats.org/officeDocument/2006/relationships/hyperlink" Target="https://doi.org/10.1016/j.jvs.2012.12.074" TargetMode="External"/><Relationship Id="rId187" Type="http://schemas.openxmlformats.org/officeDocument/2006/relationships/hyperlink" Target="https://doi.org/10.1007/s00431-007-0419-x" TargetMode="External"/><Relationship Id="rId352" Type="http://schemas.openxmlformats.org/officeDocument/2006/relationships/hyperlink" Target="https://doi.org/10.3945/ajcn.115.119537" TargetMode="External"/><Relationship Id="rId394" Type="http://schemas.openxmlformats.org/officeDocument/2006/relationships/hyperlink" Target="https://psycnet.apa.org/doi/10.1080/1057610X.2012.675550" TargetMode="External"/><Relationship Id="rId408" Type="http://schemas.openxmlformats.org/officeDocument/2006/relationships/hyperlink" Target="https://doi.org/10.3389/fpsyt.2022.801751" TargetMode="External"/><Relationship Id="rId212" Type="http://schemas.openxmlformats.org/officeDocument/2006/relationships/hyperlink" Target="https://doi.org/10.3920/bm2018.0094" TargetMode="External"/><Relationship Id="rId254" Type="http://schemas.openxmlformats.org/officeDocument/2006/relationships/hyperlink" Target="https://doi.org/10.1016/j.cptl.2016.06.011" TargetMode="External"/><Relationship Id="rId49" Type="http://schemas.openxmlformats.org/officeDocument/2006/relationships/hyperlink" Target="https://doi.org/10.1017/S0033291719000163" TargetMode="External"/><Relationship Id="rId114" Type="http://schemas.openxmlformats.org/officeDocument/2006/relationships/hyperlink" Target="https://doi.org/10.1016/j.fertnstert.2015.07.1131" TargetMode="External"/><Relationship Id="rId296" Type="http://schemas.openxmlformats.org/officeDocument/2006/relationships/hyperlink" Target="https://doi.org/10.1177/0162643415618911" TargetMode="External"/><Relationship Id="rId461" Type="http://schemas.openxmlformats.org/officeDocument/2006/relationships/hyperlink" Target="https://doi.org/10.60910/54ex-gz7v" TargetMode="External"/><Relationship Id="rId517" Type="http://schemas.openxmlformats.org/officeDocument/2006/relationships/hyperlink" Target="https://doi.org/10.1016/j.scitotenv.2019.133613" TargetMode="External"/><Relationship Id="rId60" Type="http://schemas.openxmlformats.org/officeDocument/2006/relationships/hyperlink" Target="https://doi.org/10.1016/j.adolescence.2015.09.011" TargetMode="External"/><Relationship Id="rId156" Type="http://schemas.openxmlformats.org/officeDocument/2006/relationships/hyperlink" Target="https://doi.org/10.1002/bjs.6867" TargetMode="External"/><Relationship Id="rId198" Type="http://schemas.openxmlformats.org/officeDocument/2006/relationships/hyperlink" Target="https://doi.org/10.3390/nu9080887" TargetMode="External"/><Relationship Id="rId321" Type="http://schemas.openxmlformats.org/officeDocument/2006/relationships/hyperlink" Target="https://doi.org/10.25417/uic.12481187" TargetMode="External"/><Relationship Id="rId363" Type="http://schemas.openxmlformats.org/officeDocument/2006/relationships/hyperlink" Target="https://doi.org/10.1097/mpg.0000000000000741" TargetMode="External"/><Relationship Id="rId419" Type="http://schemas.openxmlformats.org/officeDocument/2006/relationships/hyperlink" Target="https://psycnet.apa.org/doi/10.1037/tam0000165" TargetMode="External"/><Relationship Id="rId223" Type="http://schemas.openxmlformats.org/officeDocument/2006/relationships/hyperlink" Target="https://doi.org/10.1111/aogs.12447" TargetMode="External"/><Relationship Id="rId430" Type="http://schemas.openxmlformats.org/officeDocument/2006/relationships/hyperlink" Target="https://doi.org/10.13140/RG.2.2.12940.21124" TargetMode="External"/><Relationship Id="rId18" Type="http://schemas.openxmlformats.org/officeDocument/2006/relationships/hyperlink" Target="https://doi.org/10.34172/jcs.2021.014" TargetMode="External"/><Relationship Id="rId265" Type="http://schemas.openxmlformats.org/officeDocument/2006/relationships/hyperlink" Target="https://doi.org/10.1080/0142159x.2018.1426837" TargetMode="External"/><Relationship Id="rId472" Type="http://schemas.openxmlformats.org/officeDocument/2006/relationships/hyperlink" Target="https://doi.org/10.1016/j.apsoil.2013.11.010" TargetMode="External"/><Relationship Id="rId125" Type="http://schemas.openxmlformats.org/officeDocument/2006/relationships/hyperlink" Target="https://doi.org/10.1016/j.fertnstert.2014.07.777" TargetMode="External"/><Relationship Id="rId167" Type="http://schemas.openxmlformats.org/officeDocument/2006/relationships/hyperlink" Target="https://doi.org/10.3109/00365529609051997" TargetMode="External"/><Relationship Id="rId332" Type="http://schemas.openxmlformats.org/officeDocument/2006/relationships/hyperlink" Target="https://doi.org/10.1007/s10864-009-9092-7" TargetMode="External"/><Relationship Id="rId374" Type="http://schemas.openxmlformats.org/officeDocument/2006/relationships/hyperlink" Target="https://doi.org/10.1093/tropej/fmq019" TargetMode="External"/><Relationship Id="rId71" Type="http://schemas.openxmlformats.org/officeDocument/2006/relationships/hyperlink" Target="https://doi.org/10.1080/07399332.2020.1797038" TargetMode="External"/><Relationship Id="rId234" Type="http://schemas.openxmlformats.org/officeDocument/2006/relationships/hyperlink" Target="https://doi.org/10.1016/0020-7292(92)90325-d" TargetMode="External"/><Relationship Id="rId2" Type="http://schemas.openxmlformats.org/officeDocument/2006/relationships/hyperlink" Target="https://doi.org/10.1111/j.1469-7610.2011.02407.x" TargetMode="External"/><Relationship Id="rId29" Type="http://schemas.openxmlformats.org/officeDocument/2006/relationships/hyperlink" Target="https://doi.org/10.1001/jamapsychiatry.2018.3048" TargetMode="External"/><Relationship Id="rId276" Type="http://schemas.openxmlformats.org/officeDocument/2006/relationships/hyperlink" Target="https://doi.org/10.1002/ase.1544" TargetMode="External"/><Relationship Id="rId441" Type="http://schemas.openxmlformats.org/officeDocument/2006/relationships/hyperlink" Target="https://doi.org/10.1038/s41598-018-35159-z" TargetMode="External"/><Relationship Id="rId483" Type="http://schemas.openxmlformats.org/officeDocument/2006/relationships/hyperlink" Target="https://doi.org/10.1111/j.1061-2971.2004.00009.x" TargetMode="External"/><Relationship Id="rId40" Type="http://schemas.openxmlformats.org/officeDocument/2006/relationships/hyperlink" Target="https://doi.org/10.1016/j.ajp.2019.101864" TargetMode="External"/><Relationship Id="rId136" Type="http://schemas.openxmlformats.org/officeDocument/2006/relationships/hyperlink" Target="https://doi.org/10.1024/0301-1526/a000792" TargetMode="External"/><Relationship Id="rId178" Type="http://schemas.openxmlformats.org/officeDocument/2006/relationships/hyperlink" Target="https://doi.org/10.1111/j.1365-3156.2011.02745.x" TargetMode="External"/><Relationship Id="rId301" Type="http://schemas.openxmlformats.org/officeDocument/2006/relationships/hyperlink" Target="https://doi.org/10.1177/215416471004500112" TargetMode="External"/><Relationship Id="rId343" Type="http://schemas.openxmlformats.org/officeDocument/2006/relationships/hyperlink" Target="https://doi.org/10.1023/a:1016695806663" TargetMode="External"/><Relationship Id="rId82" Type="http://schemas.openxmlformats.org/officeDocument/2006/relationships/hyperlink" Target="https://doi.org/10.2196/25772" TargetMode="External"/><Relationship Id="rId203" Type="http://schemas.openxmlformats.org/officeDocument/2006/relationships/hyperlink" Target="https://doi.org/10.1097/00006454-200205000-00012" TargetMode="External"/><Relationship Id="rId385" Type="http://schemas.openxmlformats.org/officeDocument/2006/relationships/hyperlink" Target="https://doi.org/10.1007/s13312-010-0100-8" TargetMode="External"/><Relationship Id="rId245" Type="http://schemas.openxmlformats.org/officeDocument/2006/relationships/hyperlink" Target="https://doi.org/10.1056/nejmoa1509117" TargetMode="External"/><Relationship Id="rId287" Type="http://schemas.openxmlformats.org/officeDocument/2006/relationships/hyperlink" Target="https://doi.org/10.1080/10872981.2017.1395679" TargetMode="External"/><Relationship Id="rId410" Type="http://schemas.openxmlformats.org/officeDocument/2006/relationships/hyperlink" Target="https://doi.org/10.1080/09546553.2016.1277669" TargetMode="External"/><Relationship Id="rId452" Type="http://schemas.openxmlformats.org/officeDocument/2006/relationships/hyperlink" Target="https://doi.org/10.1139/x05-170" TargetMode="External"/><Relationship Id="rId494" Type="http://schemas.openxmlformats.org/officeDocument/2006/relationships/hyperlink" Target="https://doi.org/10.1111/rec.12201" TargetMode="External"/><Relationship Id="rId508" Type="http://schemas.openxmlformats.org/officeDocument/2006/relationships/hyperlink" Target="https://doi.org/10.1016/j.baae.2011.11.005" TargetMode="External"/><Relationship Id="rId105" Type="http://schemas.openxmlformats.org/officeDocument/2006/relationships/hyperlink" Target="https://doi.org/10.1002/nop2.917" TargetMode="External"/><Relationship Id="rId147" Type="http://schemas.openxmlformats.org/officeDocument/2006/relationships/hyperlink" Target="https://doi.org/10.1016/j.jvs.2014.11.071" TargetMode="External"/><Relationship Id="rId312" Type="http://schemas.openxmlformats.org/officeDocument/2006/relationships/hyperlink" Target="https://doi.org/10.2307/1511182" TargetMode="External"/><Relationship Id="rId354" Type="http://schemas.openxmlformats.org/officeDocument/2006/relationships/hyperlink" Target="https://doi.org/10.3945/ajcn.117.156653" TargetMode="External"/><Relationship Id="rId51" Type="http://schemas.openxmlformats.org/officeDocument/2006/relationships/hyperlink" Target="https://doi.org/10.2147/DMSO.S290029" TargetMode="External"/><Relationship Id="rId93" Type="http://schemas.openxmlformats.org/officeDocument/2006/relationships/hyperlink" Target="https://doi.org/10.1016/j.ijnurstu.2019.02.019" TargetMode="External"/><Relationship Id="rId189" Type="http://schemas.openxmlformats.org/officeDocument/2006/relationships/hyperlink" Target="https://doi.org/10.1097/inf.0000000000001712" TargetMode="External"/><Relationship Id="rId396" Type="http://schemas.openxmlformats.org/officeDocument/2006/relationships/hyperlink" Target="https://doi.org/10.1080/19434472.2021.1874041" TargetMode="External"/><Relationship Id="rId214" Type="http://schemas.openxmlformats.org/officeDocument/2006/relationships/hyperlink" Target="https://doi.org/10.1097/inf.0000000000002355" TargetMode="External"/><Relationship Id="rId256" Type="http://schemas.openxmlformats.org/officeDocument/2006/relationships/hyperlink" Target="https://doi.org/10.1016/j.nedt.2018.09.027" TargetMode="External"/><Relationship Id="rId298" Type="http://schemas.openxmlformats.org/officeDocument/2006/relationships/hyperlink" Target="https://doi.org/10.1002/pits.22109" TargetMode="External"/><Relationship Id="rId421" Type="http://schemas.openxmlformats.org/officeDocument/2006/relationships/hyperlink" Target="https://psycnet.apa.org/doi/10.1177/1088767912462033" TargetMode="External"/><Relationship Id="rId463" Type="http://schemas.openxmlformats.org/officeDocument/2006/relationships/hyperlink" Target="https://ui.adsabs.harvard.edu/link_gateway/2013BiCon..22.1513P/doi:10.1007/s10531-013-0489-1" TargetMode="External"/><Relationship Id="rId519" Type="http://schemas.openxmlformats.org/officeDocument/2006/relationships/hyperlink" Target="https://doi.org/10.1007/s40333-019-0008-7?urlappend=%3Futm_source%3Dresearchgate.net%26utm_medium%3Darticle" TargetMode="External"/><Relationship Id="rId116" Type="http://schemas.openxmlformats.org/officeDocument/2006/relationships/hyperlink" Target="https://doi.org/10.3923/jms.2007.880.883" TargetMode="External"/><Relationship Id="rId158" Type="http://schemas.openxmlformats.org/officeDocument/2006/relationships/hyperlink" Target="https://doi.org/10.1002/bjs.11158" TargetMode="External"/><Relationship Id="rId323" Type="http://schemas.openxmlformats.org/officeDocument/2006/relationships/hyperlink" Target="https://doi.org/10.1177/019874290002500308" TargetMode="External"/><Relationship Id="rId20" Type="http://schemas.openxmlformats.org/officeDocument/2006/relationships/hyperlink" Target="https://doi.org/10.1097/gme.0b013e318167b902" TargetMode="External"/><Relationship Id="rId62" Type="http://schemas.openxmlformats.org/officeDocument/2006/relationships/hyperlink" Target="https://doi.org/10.1080/10376178.2020.1729827" TargetMode="External"/><Relationship Id="rId365" Type="http://schemas.openxmlformats.org/officeDocument/2006/relationships/hyperlink" Target="https://doi.org/10.1056/nejmoa1507024" TargetMode="External"/><Relationship Id="rId225" Type="http://schemas.openxmlformats.org/officeDocument/2006/relationships/hyperlink" Target="https://doi.org/10.1016/s0301-2115(02)00243-9" TargetMode="External"/><Relationship Id="rId267" Type="http://schemas.openxmlformats.org/officeDocument/2006/relationships/hyperlink" Target="https://doi.org/10.3928/01484834-20130919-03" TargetMode="External"/><Relationship Id="rId432" Type="http://schemas.openxmlformats.org/officeDocument/2006/relationships/hyperlink" Target="https://doi.org/10.1177/17488958211049019" TargetMode="External"/><Relationship Id="rId474" Type="http://schemas.openxmlformats.org/officeDocument/2006/relationships/hyperlink" Target="https://doi.org/10.1007/978-1-4020-5204-0_16?urlappend=%3Futm_source%3Dresearchgate.net%26utm_medium%3Darticle" TargetMode="External"/><Relationship Id="rId127" Type="http://schemas.openxmlformats.org/officeDocument/2006/relationships/hyperlink" Target="https://doi.org/10.1016/j.fertnstert.2007.07.370" TargetMode="External"/><Relationship Id="rId31" Type="http://schemas.openxmlformats.org/officeDocument/2006/relationships/hyperlink" Target="https://doi.org/10.1111/psyg.12734" TargetMode="External"/><Relationship Id="rId73" Type="http://schemas.openxmlformats.org/officeDocument/2006/relationships/hyperlink" Target="https://doi.org/10.1111/jcpp.12832" TargetMode="External"/><Relationship Id="rId169" Type="http://schemas.openxmlformats.org/officeDocument/2006/relationships/hyperlink" Target="https://doi.org/10.1097/inf.0b013e3181b530bf" TargetMode="External"/><Relationship Id="rId334" Type="http://schemas.openxmlformats.org/officeDocument/2006/relationships/hyperlink" Target="https://doi.org/10.1007/s10864-007-9049-7" TargetMode="External"/><Relationship Id="rId376" Type="http://schemas.openxmlformats.org/officeDocument/2006/relationships/hyperlink" Target="https://doi.org/10.3945/jn.110.123828" TargetMode="External"/><Relationship Id="rId4" Type="http://schemas.openxmlformats.org/officeDocument/2006/relationships/hyperlink" Target="https://doi.org/10.1007/s11121-016-0728-2" TargetMode="External"/><Relationship Id="rId180" Type="http://schemas.openxmlformats.org/officeDocument/2006/relationships/hyperlink" Target="https://doi.org/10.1155/2012/787240" TargetMode="External"/><Relationship Id="rId236" Type="http://schemas.openxmlformats.org/officeDocument/2006/relationships/hyperlink" Target="https://doi.org/10.1111/j.1471-0528.1978.tb10462.x" TargetMode="External"/><Relationship Id="rId278" Type="http://schemas.openxmlformats.org/officeDocument/2006/relationships/hyperlink" Target="https://doi.org/10.7899/JCE-14-28" TargetMode="External"/><Relationship Id="rId401" Type="http://schemas.openxmlformats.org/officeDocument/2006/relationships/hyperlink" Target="https://doi.org/10.1080/19434472.2020.1819372" TargetMode="External"/><Relationship Id="rId443" Type="http://schemas.openxmlformats.org/officeDocument/2006/relationships/hyperlink" Target="https://doi.org/10.1016/j.soilbio.2015.02.007" TargetMode="External"/><Relationship Id="rId303" Type="http://schemas.openxmlformats.org/officeDocument/2006/relationships/hyperlink" Target="https://doi.org/10.1080/09362835.2020.1772064?urlappend=%3Futm_source%3Dresearchgate.net%26utm_medium%3Darticle" TargetMode="External"/><Relationship Id="rId485" Type="http://schemas.openxmlformats.org/officeDocument/2006/relationships/hyperlink" Target="https://doi.org/10.1016/j.catena.2014.03.006" TargetMode="External"/><Relationship Id="rId42" Type="http://schemas.openxmlformats.org/officeDocument/2006/relationships/hyperlink" Target="https://doi.org/10.1186/s13033-021-00476-w" TargetMode="External"/><Relationship Id="rId84" Type="http://schemas.openxmlformats.org/officeDocument/2006/relationships/hyperlink" Target="https://doi.org/10.1186/s12909-021-02813-6" TargetMode="External"/><Relationship Id="rId138" Type="http://schemas.openxmlformats.org/officeDocument/2006/relationships/hyperlink" Target="https://doi.org/10.1016/s0741-5214(03)00228-3" TargetMode="External"/><Relationship Id="rId345" Type="http://schemas.openxmlformats.org/officeDocument/2006/relationships/hyperlink" Target="https://doi.org/10.1023/a:1022891725732" TargetMode="External"/><Relationship Id="rId387" Type="http://schemas.openxmlformats.org/officeDocument/2006/relationships/hyperlink" Target="https://doi.org/10.1007/s13312-013-0097-x" TargetMode="External"/><Relationship Id="rId510" Type="http://schemas.openxmlformats.org/officeDocument/2006/relationships/hyperlink" Target="https://doi.org/10.1111/j.1654-109X.2009.01048.x" TargetMode="External"/><Relationship Id="rId191" Type="http://schemas.openxmlformats.org/officeDocument/2006/relationships/hyperlink" Target="https://doi.org/10.1007/bf02087695" TargetMode="External"/><Relationship Id="rId205" Type="http://schemas.openxmlformats.org/officeDocument/2006/relationships/hyperlink" Target="https://doi.org/10.1542/peds.2004-2334" TargetMode="External"/><Relationship Id="rId247" Type="http://schemas.openxmlformats.org/officeDocument/2006/relationships/hyperlink" Target="https://doi.org/10.1055/s-2007-999774" TargetMode="External"/><Relationship Id="rId412" Type="http://schemas.openxmlformats.org/officeDocument/2006/relationships/hyperlink" Target="https://doi.org/10.1111/1556-4029.12312" TargetMode="External"/><Relationship Id="rId107" Type="http://schemas.openxmlformats.org/officeDocument/2006/relationships/hyperlink" Target="https://doi.org/10.1037/1522-3736.5.1.59a" TargetMode="External"/><Relationship Id="rId289" Type="http://schemas.openxmlformats.org/officeDocument/2006/relationships/hyperlink" Target="http://dx.doi.org/10.34917/2269015" TargetMode="External"/><Relationship Id="rId454" Type="http://schemas.openxmlformats.org/officeDocument/2006/relationships/hyperlink" Target="https://doi.org/10.1139/x05-169" TargetMode="External"/><Relationship Id="rId496" Type="http://schemas.openxmlformats.org/officeDocument/2006/relationships/hyperlink" Target="https://doi.org/10.1111/j.1526-100X.2009.00594.x" TargetMode="External"/><Relationship Id="rId11" Type="http://schemas.openxmlformats.org/officeDocument/2006/relationships/hyperlink" Target="https://doi.org/10.4102/ajod.v8i0.428" TargetMode="External"/><Relationship Id="rId53" Type="http://schemas.openxmlformats.org/officeDocument/2006/relationships/hyperlink" Target="https://doi.org/10.1080/16549716.2020.1836604" TargetMode="External"/><Relationship Id="rId149" Type="http://schemas.openxmlformats.org/officeDocument/2006/relationships/hyperlink" Target="https://doi.org/10.1016/j.ejvs.2010.08.007" TargetMode="External"/><Relationship Id="rId314" Type="http://schemas.openxmlformats.org/officeDocument/2006/relationships/hyperlink" Target="https://doi.org/10.1080/02796015.1998.12085916" TargetMode="External"/><Relationship Id="rId356" Type="http://schemas.openxmlformats.org/officeDocument/2006/relationships/hyperlink" Target="https://doi.org/10.1136/bmjgh-2016-000144" TargetMode="External"/><Relationship Id="rId398" Type="http://schemas.openxmlformats.org/officeDocument/2006/relationships/hyperlink" Target="https://psycnet.apa.org/doi/10.1177/1088767918770704" TargetMode="External"/><Relationship Id="rId95" Type="http://schemas.openxmlformats.org/officeDocument/2006/relationships/hyperlink" Target="https://doi.org/10.1016/s2214-109x(17)30146-8" TargetMode="External"/><Relationship Id="rId160" Type="http://schemas.openxmlformats.org/officeDocument/2006/relationships/hyperlink" Target="https://doi.org/10.1111/j.1440-1754.2007.01201.x" TargetMode="External"/><Relationship Id="rId216" Type="http://schemas.openxmlformats.org/officeDocument/2006/relationships/hyperlink" Target="https://doi.org/10.18203/2349-3291.ijcp20183511" TargetMode="External"/><Relationship Id="rId423" Type="http://schemas.openxmlformats.org/officeDocument/2006/relationships/hyperlink" Target="https://doi.org/10.1177/002580248602600304" TargetMode="External"/><Relationship Id="rId258" Type="http://schemas.openxmlformats.org/officeDocument/2006/relationships/hyperlink" Target="https://www.bibliomed.org/gotodoi.php?mno=38544&amp;gdoi=10.5455/njppp.2019.9.0310829032019" TargetMode="External"/><Relationship Id="rId465" Type="http://schemas.openxmlformats.org/officeDocument/2006/relationships/hyperlink" Target="https://doi.org/10.1078/S0031-4056(04)70079-7" TargetMode="External"/><Relationship Id="rId22" Type="http://schemas.openxmlformats.org/officeDocument/2006/relationships/hyperlink" Target="https://doi.org/10.1111/dme.13615" TargetMode="External"/><Relationship Id="rId64" Type="http://schemas.openxmlformats.org/officeDocument/2006/relationships/hyperlink" Target="https://doi.org/10.7448/ias.17.1.18802" TargetMode="External"/><Relationship Id="rId118" Type="http://schemas.openxmlformats.org/officeDocument/2006/relationships/hyperlink" Target="https://doi.org/10.1016/j.fertnstert.2007.07.1106" TargetMode="External"/><Relationship Id="rId325" Type="http://schemas.openxmlformats.org/officeDocument/2006/relationships/hyperlink" Target="https://doi.org/10.1177/019874290603100204" TargetMode="External"/><Relationship Id="rId367" Type="http://schemas.openxmlformats.org/officeDocument/2006/relationships/hyperlink" Target="https://doi.org/10.3945/ajcn.111.029744" TargetMode="External"/><Relationship Id="rId171" Type="http://schemas.openxmlformats.org/officeDocument/2006/relationships/hyperlink" Target="https://doi.org/10.1097/00005176-200301000-00021" TargetMode="External"/><Relationship Id="rId227" Type="http://schemas.openxmlformats.org/officeDocument/2006/relationships/hyperlink" Target="https://doi.org/10.1016/0002-9378(87)90359-0" TargetMode="External"/><Relationship Id="rId269" Type="http://schemas.openxmlformats.org/officeDocument/2006/relationships/hyperlink" Target="https://doi.org/10.1002/ase.1635" TargetMode="External"/><Relationship Id="rId434" Type="http://schemas.openxmlformats.org/officeDocument/2006/relationships/hyperlink" Target="https://doi.org/10.1139/x03-267" TargetMode="External"/><Relationship Id="rId476" Type="http://schemas.openxmlformats.org/officeDocument/2006/relationships/hyperlink" Target="https://doi.org/10.1111/j.1744-7917.2006.00075.x" TargetMode="External"/><Relationship Id="rId33" Type="http://schemas.openxmlformats.org/officeDocument/2006/relationships/hyperlink" Target="https://doi.org/10.1097/qad.0000000000000335" TargetMode="External"/><Relationship Id="rId129" Type="http://schemas.openxmlformats.org/officeDocument/2006/relationships/hyperlink" Target="https://doi.org/10.29252/ijrm.16.9.587" TargetMode="External"/><Relationship Id="rId280" Type="http://schemas.openxmlformats.org/officeDocument/2006/relationships/hyperlink" Target="https://doi.org/10.1016/j.cptl.2016.06.008" TargetMode="External"/><Relationship Id="rId336" Type="http://schemas.openxmlformats.org/officeDocument/2006/relationships/hyperlink" Target="https://doi.org/10.1080/10400435.2015.1059384" TargetMode="External"/><Relationship Id="rId501" Type="http://schemas.openxmlformats.org/officeDocument/2006/relationships/hyperlink" Target="https://doi.org/10.1071/RJ17027" TargetMode="External"/><Relationship Id="rId75" Type="http://schemas.openxmlformats.org/officeDocument/2006/relationships/hyperlink" Target="https://doi.org/10.30476/ijcbnm.2021.88061.1484" TargetMode="External"/><Relationship Id="rId140" Type="http://schemas.openxmlformats.org/officeDocument/2006/relationships/hyperlink" Target="https://doi.org/10.1002/bjs.8822" TargetMode="External"/><Relationship Id="rId182" Type="http://schemas.openxmlformats.org/officeDocument/2006/relationships/hyperlink" Target="https://doi.org/10.1177/0009922815569200" TargetMode="External"/><Relationship Id="rId378" Type="http://schemas.openxmlformats.org/officeDocument/2006/relationships/hyperlink" Target="https://doi.org/10.1093/heapol/czs070" TargetMode="External"/><Relationship Id="rId403" Type="http://schemas.openxmlformats.org/officeDocument/2006/relationships/hyperlink" Target="https://doi.org/10.1037/lhb0000102" TargetMode="External"/><Relationship Id="rId6" Type="http://schemas.openxmlformats.org/officeDocument/2006/relationships/hyperlink" Target="https://doi.org/10.1371/journal.pone.0252513" TargetMode="External"/><Relationship Id="rId238" Type="http://schemas.openxmlformats.org/officeDocument/2006/relationships/hyperlink" Target="https://doi.org/10.1016/S0002-9378(94)70269-1" TargetMode="External"/><Relationship Id="rId445" Type="http://schemas.openxmlformats.org/officeDocument/2006/relationships/hyperlink" Target="https://doi.org/10.1016/j.foreco.2004.07.027" TargetMode="External"/><Relationship Id="rId487" Type="http://schemas.openxmlformats.org/officeDocument/2006/relationships/hyperlink" Target="https://doi.org/10.3368/er.9.2.71" TargetMode="External"/><Relationship Id="rId291" Type="http://schemas.openxmlformats.org/officeDocument/2006/relationships/hyperlink" Target="https://doi.org/10.1353/etc.2019.0011" TargetMode="External"/><Relationship Id="rId305" Type="http://schemas.openxmlformats.org/officeDocument/2006/relationships/hyperlink" Target="https://doi.org/10.1007/s10803-014-2272-x" TargetMode="External"/><Relationship Id="rId347" Type="http://schemas.openxmlformats.org/officeDocument/2006/relationships/hyperlink" Target="https://doi.org/10.1177/1049731513509691" TargetMode="External"/><Relationship Id="rId512" Type="http://schemas.openxmlformats.org/officeDocument/2006/relationships/hyperlink" Target="https://doi.org/10.1007/s00572-007-0143-4" TargetMode="External"/><Relationship Id="rId44" Type="http://schemas.openxmlformats.org/officeDocument/2006/relationships/hyperlink" Target="https://doi.org/10.1002/trc2.12063" TargetMode="External"/><Relationship Id="rId86" Type="http://schemas.openxmlformats.org/officeDocument/2006/relationships/hyperlink" Target="https://doi.org/10.1371/journal.pone.0105934" TargetMode="External"/><Relationship Id="rId151" Type="http://schemas.openxmlformats.org/officeDocument/2006/relationships/hyperlink" Target="https://doi.org/10.1002/bjs.7555" TargetMode="External"/><Relationship Id="rId389" Type="http://schemas.openxmlformats.org/officeDocument/2006/relationships/hyperlink" Target="https://doi.org/10.1097/mpg.0000000000000639" TargetMode="External"/><Relationship Id="rId193" Type="http://schemas.openxmlformats.org/officeDocument/2006/relationships/hyperlink" Target="https://doi.org/10.1007/s00228-018-2562-x" TargetMode="External"/><Relationship Id="rId207" Type="http://schemas.openxmlformats.org/officeDocument/2006/relationships/hyperlink" Target="https://doi.org/10.1111/j.1651-2227.1997.tb08913.x" TargetMode="External"/><Relationship Id="rId249" Type="http://schemas.openxmlformats.org/officeDocument/2006/relationships/hyperlink" Target="https://doi.org/10.1002/ase.1664" TargetMode="External"/><Relationship Id="rId414" Type="http://schemas.openxmlformats.org/officeDocument/2006/relationships/hyperlink" Target="https://doi.org/10.1007/BF02692396" TargetMode="External"/><Relationship Id="rId456" Type="http://schemas.openxmlformats.org/officeDocument/2006/relationships/hyperlink" Target="https://doi.org/10.1603/en11298" TargetMode="External"/><Relationship Id="rId498" Type="http://schemas.openxmlformats.org/officeDocument/2006/relationships/hyperlink" Target="https://doi.org/10.1016/j.jaridenv.2008.04.007" TargetMode="External"/><Relationship Id="rId13" Type="http://schemas.openxmlformats.org/officeDocument/2006/relationships/hyperlink" Target="https://doi.org/10.1016/s0027-9684(15)31408-5" TargetMode="External"/><Relationship Id="rId109" Type="http://schemas.openxmlformats.org/officeDocument/2006/relationships/hyperlink" Target="https://doi.org/10.1080/03601271003689514" TargetMode="External"/><Relationship Id="rId260" Type="http://schemas.openxmlformats.org/officeDocument/2006/relationships/hyperlink" Target="https://doi.org/10.1186/s12909-020-02240-z?urlappend=%3Futm_source%3Dresearchgate.net%26utm_medium%3Darticle" TargetMode="External"/><Relationship Id="rId316" Type="http://schemas.openxmlformats.org/officeDocument/2006/relationships/hyperlink" Target="https://doi.org/10.1177/004005990003200507" TargetMode="External"/><Relationship Id="rId55" Type="http://schemas.openxmlformats.org/officeDocument/2006/relationships/hyperlink" Target="https://doi.org/10.1521/aeap.2020.32.1.67" TargetMode="External"/><Relationship Id="rId97" Type="http://schemas.openxmlformats.org/officeDocument/2006/relationships/hyperlink" Target="https://doi.org/10.1016/j.wpsyc.2012.05.008" TargetMode="External"/><Relationship Id="rId120" Type="http://schemas.openxmlformats.org/officeDocument/2006/relationships/hyperlink" Target="https://doi.org/10.1016/j.fertnstert.2005.12.048" TargetMode="External"/><Relationship Id="rId358" Type="http://schemas.openxmlformats.org/officeDocument/2006/relationships/hyperlink" Target="https://doi.org/10.1093/tropej/40.4.225" TargetMode="External"/><Relationship Id="rId162" Type="http://schemas.openxmlformats.org/officeDocument/2006/relationships/hyperlink" Target="https://doi.org/10.18203/2349-3291.ijcp20182582" TargetMode="External"/><Relationship Id="rId218" Type="http://schemas.openxmlformats.org/officeDocument/2006/relationships/hyperlink" Target="https://doi.org/10.1177/030006058901700405" TargetMode="External"/><Relationship Id="rId425" Type="http://schemas.openxmlformats.org/officeDocument/2006/relationships/hyperlink" Target="https://doi.org/10.1080/09546550903409312" TargetMode="External"/><Relationship Id="rId467" Type="http://schemas.openxmlformats.org/officeDocument/2006/relationships/hyperlink" Target="https://doi.org/10.1016/j.foreco.2005.03.001" TargetMode="External"/><Relationship Id="rId271" Type="http://schemas.openxmlformats.org/officeDocument/2006/relationships/hyperlink" Target="https://doi.org/10.1016/j.acra.2016.02.011" TargetMode="External"/><Relationship Id="rId24" Type="http://schemas.openxmlformats.org/officeDocument/2006/relationships/hyperlink" Target="https://doi.org/10.1136/bmj.b974" TargetMode="External"/><Relationship Id="rId66" Type="http://schemas.openxmlformats.org/officeDocument/2006/relationships/hyperlink" Target="https://doi.org/10.1067/mpd.2000.110135" TargetMode="External"/><Relationship Id="rId131" Type="http://schemas.openxmlformats.org/officeDocument/2006/relationships/hyperlink" Target="https://doi.org/10.5935/1518-0557.20180040" TargetMode="External"/><Relationship Id="rId327" Type="http://schemas.openxmlformats.org/officeDocument/2006/relationships/hyperlink" Target="https://doi.org/10.1177/074193259701800206" TargetMode="External"/><Relationship Id="rId369" Type="http://schemas.openxmlformats.org/officeDocument/2006/relationships/hyperlink" Target="https://doi.org/10.1136/adc.2003.034306" TargetMode="External"/><Relationship Id="rId173" Type="http://schemas.openxmlformats.org/officeDocument/2006/relationships/hyperlink" Target="https://doi.org/10.1093/tropej/fmw032" TargetMode="External"/><Relationship Id="rId229" Type="http://schemas.openxmlformats.org/officeDocument/2006/relationships/hyperlink" Target="https://doi.org/10.1016/j.ejogrb.2004.08.013" TargetMode="External"/><Relationship Id="rId380" Type="http://schemas.openxmlformats.org/officeDocument/2006/relationships/hyperlink" Target="https://doi.org/10.1371/journal.pone.0201686" TargetMode="External"/><Relationship Id="rId436" Type="http://schemas.openxmlformats.org/officeDocument/2006/relationships/hyperlink" Target="https://doi.org/10.1007/s00442-003-1310-8" TargetMode="External"/><Relationship Id="rId240" Type="http://schemas.openxmlformats.org/officeDocument/2006/relationships/hyperlink" Target="https://doi.org/10.1016/s0020-7292(97)00179-3" TargetMode="External"/><Relationship Id="rId478" Type="http://schemas.openxmlformats.org/officeDocument/2006/relationships/hyperlink" Target="https://doi.org/10.1016/S0038-0717(02)00208-0" TargetMode="External"/><Relationship Id="rId35" Type="http://schemas.openxmlformats.org/officeDocument/2006/relationships/hyperlink" Target="https://doi.org/10.1371/journal.pmed.1003808" TargetMode="External"/><Relationship Id="rId77" Type="http://schemas.openxmlformats.org/officeDocument/2006/relationships/hyperlink" Target="https://doi.org/10.4103/ijnmr.ijnmr_207_18" TargetMode="External"/><Relationship Id="rId100" Type="http://schemas.openxmlformats.org/officeDocument/2006/relationships/hyperlink" Target="https://doi.org/10.1111/j.1740-8709.2012.00413.x" TargetMode="External"/><Relationship Id="rId282" Type="http://schemas.openxmlformats.org/officeDocument/2006/relationships/hyperlink" Target="https://doi.org/10.1016/j.cptl.2013.07.004" TargetMode="External"/><Relationship Id="rId338" Type="http://schemas.openxmlformats.org/officeDocument/2006/relationships/hyperlink" Target="https://doi.org/10.1177/109830070000200405" TargetMode="External"/><Relationship Id="rId503" Type="http://schemas.openxmlformats.org/officeDocument/2006/relationships/hyperlink" Target="https://doi.org/10.1016/j.agee.2013.11.026" TargetMode="External"/><Relationship Id="rId8" Type="http://schemas.openxmlformats.org/officeDocument/2006/relationships/hyperlink" Target="https://doi.org/10.1136/adc.2005.073015" TargetMode="External"/><Relationship Id="rId142" Type="http://schemas.openxmlformats.org/officeDocument/2006/relationships/hyperlink" Target="https://doi.org/10.1002/bjs.7394" TargetMode="External"/><Relationship Id="rId184" Type="http://schemas.openxmlformats.org/officeDocument/2006/relationships/hyperlink" Target="https://doi.org/10.1097/00005176-199711000-00005" TargetMode="External"/><Relationship Id="rId391" Type="http://schemas.openxmlformats.org/officeDocument/2006/relationships/hyperlink" Target="https://doi.org/10.1093/heapol/czr017" TargetMode="External"/><Relationship Id="rId405" Type="http://schemas.openxmlformats.org/officeDocument/2006/relationships/hyperlink" Target="https://doi.org/10.1007/s10940-019-09420-1" TargetMode="External"/><Relationship Id="rId447" Type="http://schemas.openxmlformats.org/officeDocument/2006/relationships/hyperlink" Target="https://doi.org/10.1016/j.foreco.2003.09.002" TargetMode="External"/><Relationship Id="rId251" Type="http://schemas.openxmlformats.org/officeDocument/2006/relationships/hyperlink" Target="https://doi.org/10.4103/jehp.jehp_163_19" TargetMode="External"/><Relationship Id="rId489" Type="http://schemas.openxmlformats.org/officeDocument/2006/relationships/hyperlink" Target="https://doi.org/10.1111/j.1526-100X.2006.00142.x" TargetMode="External"/><Relationship Id="rId46" Type="http://schemas.openxmlformats.org/officeDocument/2006/relationships/hyperlink" Target="https://doi.org/10.1007/s11121-017-0822-0" TargetMode="External"/><Relationship Id="rId293" Type="http://schemas.openxmlformats.org/officeDocument/2006/relationships/hyperlink" Target="https://doi.org/10.1177/875687051303200205" TargetMode="External"/><Relationship Id="rId307" Type="http://schemas.openxmlformats.org/officeDocument/2006/relationships/hyperlink" Target="https://doi.org/10.1002/(SICI)1520-6807(200003)37:2%3C135::AID-PITS5%3E3.0.CO;2-U" TargetMode="External"/><Relationship Id="rId349" Type="http://schemas.openxmlformats.org/officeDocument/2006/relationships/hyperlink" Target="https://doi.org/10.3945/ajcn.113.069807" TargetMode="External"/><Relationship Id="rId514" Type="http://schemas.openxmlformats.org/officeDocument/2006/relationships/hyperlink" Target="https://doi.org/10.1046/j.1526-100X.2003.00192.x?urlappend=%3Futm_source%3Dresearchgate.net%26utm_medium%3Darticle" TargetMode="External"/><Relationship Id="rId88" Type="http://schemas.openxmlformats.org/officeDocument/2006/relationships/hyperlink" Target="https://doi.org/10.1017/s2045796020000414" TargetMode="External"/><Relationship Id="rId111" Type="http://schemas.openxmlformats.org/officeDocument/2006/relationships/hyperlink" Target="https://doi.org/10.29252/ijrm.15.2.83" TargetMode="External"/><Relationship Id="rId153" Type="http://schemas.openxmlformats.org/officeDocument/2006/relationships/hyperlink" Target="https://doi.org/10.1016/j.jvir.2009.03.008" TargetMode="External"/><Relationship Id="rId195" Type="http://schemas.openxmlformats.org/officeDocument/2006/relationships/hyperlink" Target="https://doi.org/10.1097/pec.0b013e31826cad9f" TargetMode="External"/><Relationship Id="rId209" Type="http://schemas.openxmlformats.org/officeDocument/2006/relationships/hyperlink" Target="https://doi.org/10.1097/00005176-199704000-00008" TargetMode="External"/><Relationship Id="rId360" Type="http://schemas.openxmlformats.org/officeDocument/2006/relationships/hyperlink" Target="https://doi.org/10.1093/ajcn/78.2.302" TargetMode="External"/><Relationship Id="rId416" Type="http://schemas.openxmlformats.org/officeDocument/2006/relationships/hyperlink" Target="http://doi.org/10.7312/hamm18174" TargetMode="External"/><Relationship Id="rId220" Type="http://schemas.openxmlformats.org/officeDocument/2006/relationships/hyperlink" Target="https://doi.org/10.1136/bmj.294.6581.1192" TargetMode="External"/><Relationship Id="rId458" Type="http://schemas.openxmlformats.org/officeDocument/2006/relationships/hyperlink" Target="https://doi.org/10.1016/j.apsoil.2009.06.002" TargetMode="External"/><Relationship Id="rId15" Type="http://schemas.openxmlformats.org/officeDocument/2006/relationships/hyperlink" Target="https://doi.org/10.1590/2177-9465-EAN-2019-0133" TargetMode="External"/><Relationship Id="rId57" Type="http://schemas.openxmlformats.org/officeDocument/2006/relationships/hyperlink" Target="https://doi.org/10.1136/bmjgh-2020-002349" TargetMode="External"/><Relationship Id="rId262" Type="http://schemas.openxmlformats.org/officeDocument/2006/relationships/hyperlink" Target="https://doi.org/10.1016/j.nepr.2021.103046" TargetMode="External"/><Relationship Id="rId318" Type="http://schemas.openxmlformats.org/officeDocument/2006/relationships/hyperlink" Target="https://doi.org/10.1002/bin.1379" TargetMode="External"/><Relationship Id="rId99" Type="http://schemas.openxmlformats.org/officeDocument/2006/relationships/hyperlink" Target="https://doi.org/10.1002/nur.22123" TargetMode="External"/><Relationship Id="rId122" Type="http://schemas.openxmlformats.org/officeDocument/2006/relationships/hyperlink" Target="https://doi.org/10.1093/humrep/dew120" TargetMode="External"/><Relationship Id="rId164" Type="http://schemas.openxmlformats.org/officeDocument/2006/relationships/hyperlink" Target="https://doi.org/10.3748/wjg.v12.i28.4557" TargetMode="External"/><Relationship Id="rId371" Type="http://schemas.openxmlformats.org/officeDocument/2006/relationships/hyperlink" Target="https://doi.org/10.3945/jn.115.214957" TargetMode="External"/><Relationship Id="rId427" Type="http://schemas.openxmlformats.org/officeDocument/2006/relationships/hyperlink" Target="https://doi.org/10.13016/5mot-h708" TargetMode="External"/><Relationship Id="rId469" Type="http://schemas.openxmlformats.org/officeDocument/2006/relationships/hyperlink" Target="https://doi.org/10.1139/x00-148" TargetMode="External"/><Relationship Id="rId26" Type="http://schemas.openxmlformats.org/officeDocument/2006/relationships/hyperlink" Target="https://doi.org/10.1016/s2214-109x(15)00060-1" TargetMode="External"/><Relationship Id="rId231" Type="http://schemas.openxmlformats.org/officeDocument/2006/relationships/hyperlink" Target="https://doi.org/10.1056/nejm199206113262402" TargetMode="External"/><Relationship Id="rId273" Type="http://schemas.openxmlformats.org/officeDocument/2006/relationships/hyperlink" Target="https://doi.org/10.1111/jjns.12176" TargetMode="External"/><Relationship Id="rId329" Type="http://schemas.openxmlformats.org/officeDocument/2006/relationships/hyperlink" Target="https://doi.org/10.1037/h0100349" TargetMode="External"/><Relationship Id="rId480" Type="http://schemas.openxmlformats.org/officeDocument/2006/relationships/hyperlink" Target="https://doi.org/10.1016/j.biocon.2014.09.011" TargetMode="External"/><Relationship Id="rId68" Type="http://schemas.openxmlformats.org/officeDocument/2006/relationships/hyperlink" Target="https://doi.org/10.4103/jnms.jnms_65_20" TargetMode="External"/><Relationship Id="rId133" Type="http://schemas.openxmlformats.org/officeDocument/2006/relationships/hyperlink" Target="https://doi.org/10.1016/j.fertnstert.2007.07.890" TargetMode="External"/><Relationship Id="rId175" Type="http://schemas.openxmlformats.org/officeDocument/2006/relationships/hyperlink" Target="https://doi.org/10.1016/j.jped.2014.10.009" TargetMode="External"/><Relationship Id="rId340" Type="http://schemas.openxmlformats.org/officeDocument/2006/relationships/hyperlink" Target="https://doi.org/10.1177/016264341302800201" TargetMode="External"/><Relationship Id="rId200" Type="http://schemas.openxmlformats.org/officeDocument/2006/relationships/hyperlink" Target="https://doi.org/10.1179/146532810x12858955921159" TargetMode="External"/><Relationship Id="rId382" Type="http://schemas.openxmlformats.org/officeDocument/2006/relationships/hyperlink" Target="https://doi.org/10.6133/apjcn.2015.24.1.15" TargetMode="External"/><Relationship Id="rId438" Type="http://schemas.openxmlformats.org/officeDocument/2006/relationships/hyperlink" Target="https://doi.org/10.1016/j.foreco.2018.11.023" TargetMode="External"/><Relationship Id="rId242" Type="http://schemas.openxmlformats.org/officeDocument/2006/relationships/hyperlink" Target="https://doi.org/10.1016/0020-7292(83)90025-5" TargetMode="External"/><Relationship Id="rId284" Type="http://schemas.openxmlformats.org/officeDocument/2006/relationships/hyperlink" Target="https://doi.org/10.1007/s40670-014-0092-4" TargetMode="External"/><Relationship Id="rId491" Type="http://schemas.openxmlformats.org/officeDocument/2006/relationships/hyperlink" Target="https://doi.org/10.1111/grs.12113" TargetMode="External"/><Relationship Id="rId505" Type="http://schemas.openxmlformats.org/officeDocument/2006/relationships/hyperlink" Target="https://doi.org/10.1007/s00267-013-0176-8" TargetMode="External"/><Relationship Id="rId37" Type="http://schemas.openxmlformats.org/officeDocument/2006/relationships/hyperlink" Target="https://doi.org/10.1016/j.brat.2021.103944" TargetMode="External"/><Relationship Id="rId79" Type="http://schemas.openxmlformats.org/officeDocument/2006/relationships/hyperlink" Target="https://doi.org/10.1186/1471-2458-14-619" TargetMode="External"/><Relationship Id="rId102" Type="http://schemas.openxmlformats.org/officeDocument/2006/relationships/hyperlink" Target="https://doi.org/10.1111/jcpp.13129" TargetMode="External"/><Relationship Id="rId144" Type="http://schemas.openxmlformats.org/officeDocument/2006/relationships/hyperlink" Target="https://doi.org/10.1002/bjs.9580" TargetMode="External"/><Relationship Id="rId90" Type="http://schemas.openxmlformats.org/officeDocument/2006/relationships/hyperlink" Target="https://doi.org/10.1016/s0140-6736(18)31615-5" TargetMode="External"/><Relationship Id="rId186" Type="http://schemas.openxmlformats.org/officeDocument/2006/relationships/hyperlink" Target="https://doi.org/10.1007/s12098-014-1408-5" TargetMode="External"/><Relationship Id="rId351" Type="http://schemas.openxmlformats.org/officeDocument/2006/relationships/hyperlink" Target="https://doi.org/10.1093/heapol/12.2.115" TargetMode="External"/><Relationship Id="rId393" Type="http://schemas.openxmlformats.org/officeDocument/2006/relationships/hyperlink" Target="https://doi.org/10.3389/fpsyt.2021.774063" TargetMode="External"/><Relationship Id="rId407" Type="http://schemas.openxmlformats.org/officeDocument/2006/relationships/hyperlink" Target="https://doi.org/10.1080/19434472.2019.1591481" TargetMode="External"/><Relationship Id="rId449" Type="http://schemas.openxmlformats.org/officeDocument/2006/relationships/hyperlink" Target="https://doi.org/10.1080/02827581.2011.560183" TargetMode="External"/><Relationship Id="rId211" Type="http://schemas.openxmlformats.org/officeDocument/2006/relationships/hyperlink" Target="https://doi.org/10.26611/1012434" TargetMode="External"/><Relationship Id="rId253" Type="http://schemas.openxmlformats.org/officeDocument/2006/relationships/hyperlink" Target="https://doi.org/10.1016/j.soscij.2019.09.002" TargetMode="External"/><Relationship Id="rId295" Type="http://schemas.openxmlformats.org/officeDocument/2006/relationships/hyperlink" Target="https://doi.org/10.1177/0162643416650024" TargetMode="External"/><Relationship Id="rId309" Type="http://schemas.openxmlformats.org/officeDocument/2006/relationships/hyperlink" Target="https://doi.org/10.1177/0145445503259387" TargetMode="External"/><Relationship Id="rId460" Type="http://schemas.openxmlformats.org/officeDocument/2006/relationships/hyperlink" Target="https://doi.org/10.4141/S01-017" TargetMode="External"/><Relationship Id="rId516" Type="http://schemas.openxmlformats.org/officeDocument/2006/relationships/hyperlink" Target="https://doi.org/10.3390/su11071941" TargetMode="External"/><Relationship Id="rId48" Type="http://schemas.openxmlformats.org/officeDocument/2006/relationships/hyperlink" Target="https://doi.org/10.1111/jnu.12580" TargetMode="External"/><Relationship Id="rId113" Type="http://schemas.openxmlformats.org/officeDocument/2006/relationships/hyperlink" Target="https://doi.org/10.1016/s0015-0282(02)03043-1" TargetMode="External"/><Relationship Id="rId320" Type="http://schemas.openxmlformats.org/officeDocument/2006/relationships/hyperlink" Target="https://doi.org/10.1007/s10864-019-09352-7" TargetMode="External"/><Relationship Id="rId155" Type="http://schemas.openxmlformats.org/officeDocument/2006/relationships/hyperlink" Target="https://doi.org/10.1002/bjs.7091" TargetMode="External"/><Relationship Id="rId197" Type="http://schemas.openxmlformats.org/officeDocument/2006/relationships/hyperlink" Target="https://doi.org/10.1093/tropej/42.3.162" TargetMode="External"/><Relationship Id="rId362" Type="http://schemas.openxmlformats.org/officeDocument/2006/relationships/hyperlink" Target="https://doi.org/10.1371/journal.pmed.1002387" TargetMode="External"/><Relationship Id="rId418" Type="http://schemas.openxmlformats.org/officeDocument/2006/relationships/hyperlink" Target="https://doi.org/10.1080/19434472.2021.2013292" TargetMode="External"/><Relationship Id="rId222" Type="http://schemas.openxmlformats.org/officeDocument/2006/relationships/hyperlink" Target="https://doi.org/10.3109/00016348909006139" TargetMode="External"/><Relationship Id="rId264" Type="http://schemas.openxmlformats.org/officeDocument/2006/relationships/hyperlink" Target="https://doi.org/10.1371/journal.pone.0174829" TargetMode="External"/><Relationship Id="rId471" Type="http://schemas.openxmlformats.org/officeDocument/2006/relationships/hyperlink" Target="https://doi.org/10.1016/S0929-1393(02)00003-3" TargetMode="External"/><Relationship Id="rId17" Type="http://schemas.openxmlformats.org/officeDocument/2006/relationships/hyperlink" Target="http://dx.doi.org/10.15649/cuidarte.2002" TargetMode="External"/><Relationship Id="rId59" Type="http://schemas.openxmlformats.org/officeDocument/2006/relationships/hyperlink" Target="https://doi.org/10.1016/j.ahj.2019.08.022" TargetMode="External"/><Relationship Id="rId124" Type="http://schemas.openxmlformats.org/officeDocument/2006/relationships/hyperlink" Target="https://doi.org/10.1111/jog.13802" TargetMode="External"/><Relationship Id="rId70" Type="http://schemas.openxmlformats.org/officeDocument/2006/relationships/hyperlink" Target="http://doi.org/10.1037/ccp0000505" TargetMode="External"/><Relationship Id="rId166" Type="http://schemas.openxmlformats.org/officeDocument/2006/relationships/hyperlink" Target="https://doi.org/10.4103/0976-500x.114603" TargetMode="External"/><Relationship Id="rId331" Type="http://schemas.openxmlformats.org/officeDocument/2006/relationships/hyperlink" Target="https://doi.org/10.1080/01443410120065469" TargetMode="External"/><Relationship Id="rId373" Type="http://schemas.openxmlformats.org/officeDocument/2006/relationships/hyperlink" Target="https://doi.org/10.18203/2349-3291.ijcp20172692" TargetMode="External"/><Relationship Id="rId429" Type="http://schemas.openxmlformats.org/officeDocument/2006/relationships/hyperlink" Target="https://doi.org/10.1177/0002764215588817" TargetMode="External"/><Relationship Id="rId1" Type="http://schemas.openxmlformats.org/officeDocument/2006/relationships/hyperlink" Target="https://doi.org/10.1002/wps.20939" TargetMode="External"/><Relationship Id="rId233" Type="http://schemas.openxmlformats.org/officeDocument/2006/relationships/hyperlink" Target="https://doi.org/10.1111/j.1471-0528.1969.tb06180.x" TargetMode="External"/><Relationship Id="rId440" Type="http://schemas.openxmlformats.org/officeDocument/2006/relationships/hyperlink" Target="https://doi.org/10.1016/j.foreco.2009.06.033" TargetMode="External"/><Relationship Id="rId28" Type="http://schemas.openxmlformats.org/officeDocument/2006/relationships/hyperlink" Target="https://doi.org/10.1371/journal.pone.0002333" TargetMode="External"/><Relationship Id="rId275" Type="http://schemas.openxmlformats.org/officeDocument/2006/relationships/hyperlink" Target="https://doi.org/10.21203/rs.3.rs-18325/v1" TargetMode="External"/><Relationship Id="rId300" Type="http://schemas.openxmlformats.org/officeDocument/2006/relationships/hyperlink" Target="https://doi.org/10.1353/etc.2007.0022" TargetMode="External"/><Relationship Id="rId482" Type="http://schemas.openxmlformats.org/officeDocument/2006/relationships/hyperlink" Target="https://doi.org/10.1111/j.1526-100X.2005.00037.x" TargetMode="External"/><Relationship Id="rId81" Type="http://schemas.openxmlformats.org/officeDocument/2006/relationships/hyperlink" Target="https://doi.org/10.1371/journal.pmed.1002555" TargetMode="External"/><Relationship Id="rId135" Type="http://schemas.openxmlformats.org/officeDocument/2006/relationships/hyperlink" Target="https://doi.org/10.1016/s1472-6483(10)61434-4" TargetMode="External"/><Relationship Id="rId177" Type="http://schemas.openxmlformats.org/officeDocument/2006/relationships/hyperlink" Target="https://doi.org/10.1097/mcg.0b013e31816fc2f6" TargetMode="External"/><Relationship Id="rId342" Type="http://schemas.openxmlformats.org/officeDocument/2006/relationships/hyperlink" Target="https://doi.org/10.1007/s10864-014-9204-x" TargetMode="External"/><Relationship Id="rId384" Type="http://schemas.openxmlformats.org/officeDocument/2006/relationships/hyperlink" Target="https://doi.org/10.3390/nu10070909" TargetMode="External"/><Relationship Id="rId202" Type="http://schemas.openxmlformats.org/officeDocument/2006/relationships/hyperlink" Target="https://doi.org/10.1097/mpg.0b013e3181bbf53d" TargetMode="External"/><Relationship Id="rId244" Type="http://schemas.openxmlformats.org/officeDocument/2006/relationships/hyperlink" Target="https://doi.org/10.3109/00016347909154610" TargetMode="External"/><Relationship Id="rId39" Type="http://schemas.openxmlformats.org/officeDocument/2006/relationships/hyperlink" Target="https://doi.org/10.1590/s1516-44462010005000017" TargetMode="External"/><Relationship Id="rId286" Type="http://schemas.openxmlformats.org/officeDocument/2006/relationships/hyperlink" Target="https://doi.org/10.1016/j.nedt.2019.104262" TargetMode="External"/><Relationship Id="rId451" Type="http://schemas.openxmlformats.org/officeDocument/2006/relationships/hyperlink" Target="https://doi.org/10.1016/j.foreco.2016.01.025" TargetMode="External"/><Relationship Id="rId493" Type="http://schemas.openxmlformats.org/officeDocument/2006/relationships/hyperlink" Target="https://doi.org/10.1016/j.jaridenv.2016.03.008" TargetMode="External"/><Relationship Id="rId507" Type="http://schemas.openxmlformats.org/officeDocument/2006/relationships/hyperlink" Target="https://doi.org/10.1016/j.jaridenv.2012.09.008" TargetMode="External"/><Relationship Id="rId50" Type="http://schemas.openxmlformats.org/officeDocument/2006/relationships/hyperlink" Target="https://doi.org/10.1136/bmj.a506" TargetMode="External"/><Relationship Id="rId104" Type="http://schemas.openxmlformats.org/officeDocument/2006/relationships/hyperlink" Target="https://doi.org/10.1111/dme.14491" TargetMode="External"/><Relationship Id="rId146" Type="http://schemas.openxmlformats.org/officeDocument/2006/relationships/hyperlink" Target="https://doi.org/10.1016/j.jvsv.2018.12.014" TargetMode="External"/><Relationship Id="rId188" Type="http://schemas.openxmlformats.org/officeDocument/2006/relationships/hyperlink" Target="https://doi.org/10.1097/inf.0b013e318169034c" TargetMode="External"/><Relationship Id="rId311" Type="http://schemas.openxmlformats.org/officeDocument/2006/relationships/hyperlink" Target="https://doi.org/10.1177/1063426613476345" TargetMode="External"/><Relationship Id="rId353" Type="http://schemas.openxmlformats.org/officeDocument/2006/relationships/hyperlink" Target="https://doi.org/10.1111/mcn.12112" TargetMode="External"/><Relationship Id="rId395" Type="http://schemas.openxmlformats.org/officeDocument/2006/relationships/hyperlink" Target="https://doi.org/10.1177/0002764219831746" TargetMode="External"/><Relationship Id="rId409" Type="http://schemas.openxmlformats.org/officeDocument/2006/relationships/hyperlink" Target="https://doi.org/10.1080/09546553.2017.1297708" TargetMode="External"/><Relationship Id="rId92" Type="http://schemas.openxmlformats.org/officeDocument/2006/relationships/hyperlink" Target="https://doi.org/10.1177/0886260517736881" TargetMode="External"/><Relationship Id="rId213" Type="http://schemas.openxmlformats.org/officeDocument/2006/relationships/hyperlink" Target="https://doi.org/10.1111/j.1365-2036.2006.02740.x" TargetMode="External"/><Relationship Id="rId420" Type="http://schemas.openxmlformats.org/officeDocument/2006/relationships/hyperlink" Target="https://doi.org/10.1111/1745-9125.12169" TargetMode="External"/><Relationship Id="rId255" Type="http://schemas.openxmlformats.org/officeDocument/2006/relationships/hyperlink" Target="https://doi.org/10.5688/ajpe80231" TargetMode="External"/><Relationship Id="rId297" Type="http://schemas.openxmlformats.org/officeDocument/2006/relationships/hyperlink" Target="https://doi.org/10.1177/019874291203800102" TargetMode="External"/><Relationship Id="rId462" Type="http://schemas.openxmlformats.org/officeDocument/2006/relationships/hyperlink" Target="https://doi.org/10.1016/j.foreco.2011.10.045" TargetMode="External"/><Relationship Id="rId518" Type="http://schemas.openxmlformats.org/officeDocument/2006/relationships/hyperlink" Target="https://doi.org/10.1002/ldr.3387" TargetMode="External"/><Relationship Id="rId115" Type="http://schemas.openxmlformats.org/officeDocument/2006/relationships/hyperlink" Target="https://doi.org/10.1016/s0015-0282(02)02960-6" TargetMode="External"/><Relationship Id="rId157" Type="http://schemas.openxmlformats.org/officeDocument/2006/relationships/hyperlink" Target="https://doi.org/10.1177/0268355516658592" TargetMode="External"/><Relationship Id="rId322" Type="http://schemas.openxmlformats.org/officeDocument/2006/relationships/hyperlink" Target="https://doi.org/10.1037/h0100359" TargetMode="External"/><Relationship Id="rId364" Type="http://schemas.openxmlformats.org/officeDocument/2006/relationships/hyperlink" Target="https://doi.org/10.1111/mcn.12054" TargetMode="External"/><Relationship Id="rId61" Type="http://schemas.openxmlformats.org/officeDocument/2006/relationships/hyperlink" Target="https://doi.org/10.1037/hea0000503" TargetMode="External"/><Relationship Id="rId199" Type="http://schemas.openxmlformats.org/officeDocument/2006/relationships/hyperlink" Target="https://doi.org/10.1097/00006454-199502000-00005" TargetMode="External"/><Relationship Id="rId19" Type="http://schemas.openxmlformats.org/officeDocument/2006/relationships/hyperlink" Target="https://doi.org/10.1542/peds.2015-0119" TargetMode="External"/><Relationship Id="rId224" Type="http://schemas.openxmlformats.org/officeDocument/2006/relationships/hyperlink" Target="https://doi.org/10.1016/S0020-7292(00)80498-1" TargetMode="External"/><Relationship Id="rId266" Type="http://schemas.openxmlformats.org/officeDocument/2006/relationships/hyperlink" Target="https://doi.org/10.5811/westjem.2015.9.27256" TargetMode="External"/><Relationship Id="rId431" Type="http://schemas.openxmlformats.org/officeDocument/2006/relationships/hyperlink" Target="https://psycnet.apa.org/doi/10.1177/0022427815627312" TargetMode="External"/><Relationship Id="rId473" Type="http://schemas.openxmlformats.org/officeDocument/2006/relationships/hyperlink" Target="https://doi.org/10.1016/j.foreco.2013.11.028" TargetMode="External"/><Relationship Id="rId30" Type="http://schemas.openxmlformats.org/officeDocument/2006/relationships/hyperlink" Target="https://doi.org/10.1177/1049731517699525" TargetMode="External"/><Relationship Id="rId126" Type="http://schemas.openxmlformats.org/officeDocument/2006/relationships/hyperlink" Target="https://doi.org/10.1016/s0015-0282(16)57428-7" TargetMode="External"/><Relationship Id="rId168" Type="http://schemas.openxmlformats.org/officeDocument/2006/relationships/hyperlink" Target="https://doi.org/10.1136/bmj.39272.581736.55" TargetMode="External"/><Relationship Id="rId333" Type="http://schemas.openxmlformats.org/officeDocument/2006/relationships/hyperlink" Target="https://doi.org/10.1007/s10864-018-09317-2" TargetMode="External"/><Relationship Id="rId72" Type="http://schemas.openxmlformats.org/officeDocument/2006/relationships/hyperlink" Target="https://doi.org/10.1016/j.chiabu.2014.02.004" TargetMode="External"/><Relationship Id="rId375" Type="http://schemas.openxmlformats.org/officeDocument/2006/relationships/hyperlink" Target="https://doi.org/10.3945/ajcn.113.072538" TargetMode="External"/><Relationship Id="rId3" Type="http://schemas.openxmlformats.org/officeDocument/2006/relationships/hyperlink" Target="https://doi.org/10.1007/s10566-019-09535-3" TargetMode="External"/><Relationship Id="rId235" Type="http://schemas.openxmlformats.org/officeDocument/2006/relationships/hyperlink" Target="https://doi.org/10.1136/bmj.l344" TargetMode="External"/><Relationship Id="rId277" Type="http://schemas.openxmlformats.org/officeDocument/2006/relationships/hyperlink" Target="https://doi.org/10.1186/s12909-017-0881-8" TargetMode="External"/><Relationship Id="rId400" Type="http://schemas.openxmlformats.org/officeDocument/2006/relationships/hyperlink" Target="https://doi.org/10.1080/09546553.2014.975646" TargetMode="External"/><Relationship Id="rId442" Type="http://schemas.openxmlformats.org/officeDocument/2006/relationships/hyperlink" Target="https://doi.org/10.4141/S99-112" TargetMode="External"/><Relationship Id="rId484" Type="http://schemas.openxmlformats.org/officeDocument/2006/relationships/hyperlink" Target="https://doi.org/10.1016/S0301-4797(03)00107-5" TargetMode="External"/><Relationship Id="rId137" Type="http://schemas.openxmlformats.org/officeDocument/2006/relationships/hyperlink" Target="https://doi.org/10.1002/bjs.6101" TargetMode="External"/><Relationship Id="rId302" Type="http://schemas.openxmlformats.org/officeDocument/2006/relationships/hyperlink" Target="https://doi.org/10.1177/1098300715596134" TargetMode="External"/><Relationship Id="rId344" Type="http://schemas.openxmlformats.org/officeDocument/2006/relationships/hyperlink" Target="https://doi.org/10.1177/014544502236653" TargetMode="External"/><Relationship Id="rId41" Type="http://schemas.openxmlformats.org/officeDocument/2006/relationships/hyperlink" Target="https://doi.org/10.22038/jmrh.2019.44596.1535" TargetMode="External"/><Relationship Id="rId83" Type="http://schemas.openxmlformats.org/officeDocument/2006/relationships/hyperlink" Target="https://doi.org/10.1016/j.ctcp.2021.101434" TargetMode="External"/><Relationship Id="rId179" Type="http://schemas.openxmlformats.org/officeDocument/2006/relationships/hyperlink" Target="https://doi.org/10.3889/oamjms.2015.088" TargetMode="External"/><Relationship Id="rId386" Type="http://schemas.openxmlformats.org/officeDocument/2006/relationships/hyperlink" Target="https://doi.org/10.3945/ajcn.115.124636" TargetMode="External"/><Relationship Id="rId190" Type="http://schemas.openxmlformats.org/officeDocument/2006/relationships/hyperlink" Target="https://doi.org/10.1097/mcg.0b013e31828f1c6e" TargetMode="External"/><Relationship Id="rId204" Type="http://schemas.openxmlformats.org/officeDocument/2006/relationships/hyperlink" Target="https://doi.org/10.1097/00006454-200205000-00013" TargetMode="External"/><Relationship Id="rId246" Type="http://schemas.openxmlformats.org/officeDocument/2006/relationships/hyperlink" Target="https://doi.org/10.1136/bmj.l6131" TargetMode="External"/><Relationship Id="rId288" Type="http://schemas.openxmlformats.org/officeDocument/2006/relationships/hyperlink" Target="https://doi.org/10.1371/journal.pone.0257208" TargetMode="External"/><Relationship Id="rId411" Type="http://schemas.openxmlformats.org/officeDocument/2006/relationships/hyperlink" Target="https://doi.org/10.1080/09546553.2019.1668781" TargetMode="External"/><Relationship Id="rId453" Type="http://schemas.openxmlformats.org/officeDocument/2006/relationships/hyperlink" Target="https://doi.org/10.1016/j.foreco.2018.12.047" TargetMode="External"/><Relationship Id="rId509" Type="http://schemas.openxmlformats.org/officeDocument/2006/relationships/hyperlink" Target="https://doi.org/10.1007/s12665-010-0577-4?urlappend=%3Futm_source%3Dresearchgate.net%26utm_medium%3Darticle" TargetMode="External"/><Relationship Id="rId106" Type="http://schemas.openxmlformats.org/officeDocument/2006/relationships/hyperlink" Target="https://doi.org/10.1002/jts.20531" TargetMode="External"/><Relationship Id="rId313" Type="http://schemas.openxmlformats.org/officeDocument/2006/relationships/hyperlink" Target="https://doi.org/10.1177/00224669050390030201" TargetMode="External"/><Relationship Id="rId495" Type="http://schemas.openxmlformats.org/officeDocument/2006/relationships/hyperlink" Target="https://doi.org/10.1111/j.1526-100X.2011.00808.x" TargetMode="External"/><Relationship Id="rId10" Type="http://schemas.openxmlformats.org/officeDocument/2006/relationships/hyperlink" Target="https://doi.org/10.3390/ijerph16020267" TargetMode="External"/><Relationship Id="rId52" Type="http://schemas.openxmlformats.org/officeDocument/2006/relationships/hyperlink" Target="https://doi.org/10.1111/j.1469-7610.2010.02209.x" TargetMode="External"/><Relationship Id="rId94" Type="http://schemas.openxmlformats.org/officeDocument/2006/relationships/hyperlink" Target="https://doi.org/10.14283/jpad.2019.42" TargetMode="External"/><Relationship Id="rId148" Type="http://schemas.openxmlformats.org/officeDocument/2006/relationships/hyperlink" Target="https://doi.org/10.1097/sla.0b013e318230af5a" TargetMode="External"/><Relationship Id="rId355" Type="http://schemas.openxmlformats.org/officeDocument/2006/relationships/hyperlink" Target="https://doi.org/10.1016/s2214-109x(16)30096-1" TargetMode="External"/><Relationship Id="rId397" Type="http://schemas.openxmlformats.org/officeDocument/2006/relationships/hyperlink" Target="https://doi.org/10.1080/1057610X.2015.1008341" TargetMode="External"/><Relationship Id="rId520" Type="http://schemas.openxmlformats.org/officeDocument/2006/relationships/hyperlink" Target="https://doi.org/10.1002/ece3.4958" TargetMode="External"/><Relationship Id="rId215" Type="http://schemas.openxmlformats.org/officeDocument/2006/relationships/hyperlink" Target="https://doi.org/10.1016/j.ijid.2008.09.014" TargetMode="External"/><Relationship Id="rId257" Type="http://schemas.openxmlformats.org/officeDocument/2006/relationships/hyperlink" Target="https://doi.org/10.3352/jeehp.2016.13.11" TargetMode="External"/><Relationship Id="rId422" Type="http://schemas.openxmlformats.org/officeDocument/2006/relationships/hyperlink" Target="https://doi.org/10.1177/1088767917736797" TargetMode="External"/><Relationship Id="rId464" Type="http://schemas.openxmlformats.org/officeDocument/2006/relationships/hyperlink" Target="https://doi.org/10.1016/j.biocon.2007.02.011" TargetMode="External"/><Relationship Id="rId299" Type="http://schemas.openxmlformats.org/officeDocument/2006/relationships/hyperlink" Target="https://doi.org/10.1177/019874290302900102" TargetMode="External"/><Relationship Id="rId63" Type="http://schemas.openxmlformats.org/officeDocument/2006/relationships/hyperlink" Target="https://doi.org/10.1016/s2214-109x(20)30469-1" TargetMode="External"/><Relationship Id="rId159" Type="http://schemas.openxmlformats.org/officeDocument/2006/relationships/hyperlink" Target="https://doi.org/10.1002/bjs.10260" TargetMode="External"/><Relationship Id="rId366" Type="http://schemas.openxmlformats.org/officeDocument/2006/relationships/hyperlink" Target="https://doi.org/10.1186/s12916-015-0315-6"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oi.org/10.1016/s2214-109x(15)00060-1" TargetMode="External"/><Relationship Id="rId21" Type="http://schemas.openxmlformats.org/officeDocument/2006/relationships/hyperlink" Target="https://doi.org/10.1016/j.ijnurstu.2019.103407" TargetMode="External"/><Relationship Id="rId42" Type="http://schemas.openxmlformats.org/officeDocument/2006/relationships/hyperlink" Target="https://doi.org/10.1186/s13033-021-00476-w" TargetMode="External"/><Relationship Id="rId47" Type="http://schemas.openxmlformats.org/officeDocument/2006/relationships/hyperlink" Target="https://doi.org/10.1080/01443410.2021.1922611" TargetMode="External"/><Relationship Id="rId63" Type="http://schemas.openxmlformats.org/officeDocument/2006/relationships/hyperlink" Target="https://doi.org/10.1016/s2214-109x(20)30469-1" TargetMode="External"/><Relationship Id="rId68" Type="http://schemas.openxmlformats.org/officeDocument/2006/relationships/hyperlink" Target="https://doi.org/10.4103/jnms.jnms_65_20" TargetMode="External"/><Relationship Id="rId84" Type="http://schemas.openxmlformats.org/officeDocument/2006/relationships/hyperlink" Target="https://doi.org/10.1186/s12909-021-02813-6" TargetMode="External"/><Relationship Id="rId89" Type="http://schemas.openxmlformats.org/officeDocument/2006/relationships/hyperlink" Target="https://doi.org/10.1016/j.socscimed.2008.09.061" TargetMode="External"/><Relationship Id="rId16" Type="http://schemas.openxmlformats.org/officeDocument/2006/relationships/hyperlink" Target="https://doi.org/10.1111/jcpp.12729" TargetMode="External"/><Relationship Id="rId107" Type="http://schemas.openxmlformats.org/officeDocument/2006/relationships/hyperlink" Target="https://doi.org/10.1037/1522-3736.5.1.59a" TargetMode="External"/><Relationship Id="rId11" Type="http://schemas.openxmlformats.org/officeDocument/2006/relationships/hyperlink" Target="https://doi.org/10.4102/ajod.v8i0.428" TargetMode="External"/><Relationship Id="rId32" Type="http://schemas.openxmlformats.org/officeDocument/2006/relationships/hyperlink" Target="https://doi.org/10.1111/1467-8624.00343" TargetMode="External"/><Relationship Id="rId37" Type="http://schemas.openxmlformats.org/officeDocument/2006/relationships/hyperlink" Target="https://doi.org/10.1016/j.brat.2021.103944" TargetMode="External"/><Relationship Id="rId53" Type="http://schemas.openxmlformats.org/officeDocument/2006/relationships/hyperlink" Target="https://doi.org/10.1080/16549716.2020.1836604" TargetMode="External"/><Relationship Id="rId58" Type="http://schemas.openxmlformats.org/officeDocument/2006/relationships/hyperlink" Target="https://doi.org/10.1016/0277-9536(95)00262-6" TargetMode="External"/><Relationship Id="rId74" Type="http://schemas.openxmlformats.org/officeDocument/2006/relationships/hyperlink" Target="https://doi.org/10.1161/CIRCULATIONAHA.118.038192" TargetMode="External"/><Relationship Id="rId79" Type="http://schemas.openxmlformats.org/officeDocument/2006/relationships/hyperlink" Target="https://doi.org/10.1186/1471-2458-14-619" TargetMode="External"/><Relationship Id="rId102" Type="http://schemas.openxmlformats.org/officeDocument/2006/relationships/hyperlink" Target="https://doi.org/10.1111/jcpp.13129" TargetMode="External"/><Relationship Id="rId5" Type="http://schemas.openxmlformats.org/officeDocument/2006/relationships/hyperlink" Target="https://doi.org/10.1177/1533317514523668" TargetMode="External"/><Relationship Id="rId90" Type="http://schemas.openxmlformats.org/officeDocument/2006/relationships/hyperlink" Target="https://doi.org/10.1016/s0140-6736(18)31615-5" TargetMode="External"/><Relationship Id="rId95" Type="http://schemas.openxmlformats.org/officeDocument/2006/relationships/hyperlink" Target="https://doi.org/10.1016/s2214-109x(17)30146-8" TargetMode="External"/><Relationship Id="rId22" Type="http://schemas.openxmlformats.org/officeDocument/2006/relationships/hyperlink" Target="https://doi.org/10.1111/dme.13615" TargetMode="External"/><Relationship Id="rId27" Type="http://schemas.openxmlformats.org/officeDocument/2006/relationships/hyperlink" Target="https://doi.org/10.1371/journal.pone.0223046" TargetMode="External"/><Relationship Id="rId43" Type="http://schemas.openxmlformats.org/officeDocument/2006/relationships/hyperlink" Target="https://doi.org/10.1080/17439760.2019.1590624" TargetMode="External"/><Relationship Id="rId48" Type="http://schemas.openxmlformats.org/officeDocument/2006/relationships/hyperlink" Target="https://doi.org/10.1111/jnu.12580" TargetMode="External"/><Relationship Id="rId64" Type="http://schemas.openxmlformats.org/officeDocument/2006/relationships/hyperlink" Target="https://doi.org/10.7448/ias.17.1.18802" TargetMode="External"/><Relationship Id="rId69" Type="http://schemas.openxmlformats.org/officeDocument/2006/relationships/hyperlink" Target="https://doi.org/10.1097/wad.0000000000000256" TargetMode="External"/><Relationship Id="rId80" Type="http://schemas.openxmlformats.org/officeDocument/2006/relationships/hyperlink" Target="https://doi.org/10.1111/j.1475-3588.2010.00584.x" TargetMode="External"/><Relationship Id="rId85" Type="http://schemas.openxmlformats.org/officeDocument/2006/relationships/hyperlink" Target="https://doi.org/10.1371/journal.pone.0084867" TargetMode="External"/><Relationship Id="rId12" Type="http://schemas.openxmlformats.org/officeDocument/2006/relationships/hyperlink" Target="https://doi.org/10.1016/j.jad.2021.06.002" TargetMode="External"/><Relationship Id="rId17" Type="http://schemas.openxmlformats.org/officeDocument/2006/relationships/hyperlink" Target="http://dx.doi.org/10.15649/cuidarte.2002" TargetMode="External"/><Relationship Id="rId33" Type="http://schemas.openxmlformats.org/officeDocument/2006/relationships/hyperlink" Target="https://doi.org/10.1097/qad.0000000000000335" TargetMode="External"/><Relationship Id="rId38" Type="http://schemas.openxmlformats.org/officeDocument/2006/relationships/hyperlink" Target="https://doi.org/10.1016/j.ijnurstu.2014.06.006" TargetMode="External"/><Relationship Id="rId59" Type="http://schemas.openxmlformats.org/officeDocument/2006/relationships/hyperlink" Target="https://doi.org/10.1016/j.ahj.2019.08.022" TargetMode="External"/><Relationship Id="rId103" Type="http://schemas.openxmlformats.org/officeDocument/2006/relationships/hyperlink" Target="https://doi.org/10.1186/s12889-019-6447-4" TargetMode="External"/><Relationship Id="rId108" Type="http://schemas.openxmlformats.org/officeDocument/2006/relationships/hyperlink" Target="https://doi.org/10.1016/j.jtumed.2014.08.003" TargetMode="External"/><Relationship Id="rId54" Type="http://schemas.openxmlformats.org/officeDocument/2006/relationships/hyperlink" Target="https://doi.org/10.3399/bjgpopen18x101593" TargetMode="External"/><Relationship Id="rId70" Type="http://schemas.openxmlformats.org/officeDocument/2006/relationships/hyperlink" Target="http://doi.org/10.1037/ccp0000505" TargetMode="External"/><Relationship Id="rId75" Type="http://schemas.openxmlformats.org/officeDocument/2006/relationships/hyperlink" Target="https://doi.org/10.30476/ijcbnm.2021.88061.1484" TargetMode="External"/><Relationship Id="rId91" Type="http://schemas.openxmlformats.org/officeDocument/2006/relationships/hyperlink" Target="https://doi.org/10.1016/s2214-109x(15)00099-6" TargetMode="External"/><Relationship Id="rId96" Type="http://schemas.openxmlformats.org/officeDocument/2006/relationships/hyperlink" Target="https://doi.org/10.1590/0034-7167-2016-0353" TargetMode="External"/><Relationship Id="rId1" Type="http://schemas.openxmlformats.org/officeDocument/2006/relationships/hyperlink" Target="https://doi.org/10.1002/wps.20939" TargetMode="External"/><Relationship Id="rId6" Type="http://schemas.openxmlformats.org/officeDocument/2006/relationships/hyperlink" Target="https://doi.org/10.1371/journal.pone.0252513" TargetMode="External"/><Relationship Id="rId15" Type="http://schemas.openxmlformats.org/officeDocument/2006/relationships/hyperlink" Target="https://doi.org/10.1590/2177-9465-EAN-2019-0133" TargetMode="External"/><Relationship Id="rId23" Type="http://schemas.openxmlformats.org/officeDocument/2006/relationships/hyperlink" Target="https://doi.org/10.1186/s12905-019-0744-z" TargetMode="External"/><Relationship Id="rId28" Type="http://schemas.openxmlformats.org/officeDocument/2006/relationships/hyperlink" Target="https://doi.org/10.1371/journal.pone.0002333" TargetMode="External"/><Relationship Id="rId36" Type="http://schemas.openxmlformats.org/officeDocument/2006/relationships/hyperlink" Target="https://doi.org/10.4103/ijoy.ijoy_57_17" TargetMode="External"/><Relationship Id="rId49" Type="http://schemas.openxmlformats.org/officeDocument/2006/relationships/hyperlink" Target="https://doi.org/10.1017/S0033291719000163" TargetMode="External"/><Relationship Id="rId57" Type="http://schemas.openxmlformats.org/officeDocument/2006/relationships/hyperlink" Target="https://doi.org/10.1136/bmjgh-2020-002349" TargetMode="External"/><Relationship Id="rId106" Type="http://schemas.openxmlformats.org/officeDocument/2006/relationships/hyperlink" Target="https://doi.org/10.1002/jts.20531" TargetMode="External"/><Relationship Id="rId10" Type="http://schemas.openxmlformats.org/officeDocument/2006/relationships/hyperlink" Target="https://doi.org/10.3390/ijerph16020267" TargetMode="External"/><Relationship Id="rId31" Type="http://schemas.openxmlformats.org/officeDocument/2006/relationships/hyperlink" Target="https://doi.org/10.1111/psyg.12734" TargetMode="External"/><Relationship Id="rId44" Type="http://schemas.openxmlformats.org/officeDocument/2006/relationships/hyperlink" Target="https://doi.org/10.1002/trc2.12063" TargetMode="External"/><Relationship Id="rId52" Type="http://schemas.openxmlformats.org/officeDocument/2006/relationships/hyperlink" Target="https://doi.org/10.1111/j.1469-7610.2010.02209.x" TargetMode="External"/><Relationship Id="rId60" Type="http://schemas.openxmlformats.org/officeDocument/2006/relationships/hyperlink" Target="https://doi.org/10.1016/j.adolescence.2015.09.011" TargetMode="External"/><Relationship Id="rId65" Type="http://schemas.openxmlformats.org/officeDocument/2006/relationships/hyperlink" Target="https://doi.org/10.1111/jan.12624" TargetMode="External"/><Relationship Id="rId73" Type="http://schemas.openxmlformats.org/officeDocument/2006/relationships/hyperlink" Target="https://doi.org/10.1111/jcpp.12832" TargetMode="External"/><Relationship Id="rId78" Type="http://schemas.openxmlformats.org/officeDocument/2006/relationships/hyperlink" Target="https://doi.org/10.1080/02646838.2016.1266470" TargetMode="External"/><Relationship Id="rId81" Type="http://schemas.openxmlformats.org/officeDocument/2006/relationships/hyperlink" Target="https://doi.org/10.1371/journal.pmed.1002555" TargetMode="External"/><Relationship Id="rId86" Type="http://schemas.openxmlformats.org/officeDocument/2006/relationships/hyperlink" Target="https://doi.org/10.1371/journal.pone.0105934" TargetMode="External"/><Relationship Id="rId94" Type="http://schemas.openxmlformats.org/officeDocument/2006/relationships/hyperlink" Target="https://doi.org/10.14283/jpad.2019.42" TargetMode="External"/><Relationship Id="rId99" Type="http://schemas.openxmlformats.org/officeDocument/2006/relationships/hyperlink" Target="https://doi.org/10.1002/nur.22123" TargetMode="External"/><Relationship Id="rId101" Type="http://schemas.openxmlformats.org/officeDocument/2006/relationships/hyperlink" Target="https://doi.org/10.1080/13803611.2015.1111804" TargetMode="External"/><Relationship Id="rId4" Type="http://schemas.openxmlformats.org/officeDocument/2006/relationships/hyperlink" Target="https://doi.org/10.1007/s11121-016-0728-2" TargetMode="External"/><Relationship Id="rId9" Type="http://schemas.openxmlformats.org/officeDocument/2006/relationships/hyperlink" Target="https://doi.org/10.3390/ijerph16152797" TargetMode="External"/><Relationship Id="rId13" Type="http://schemas.openxmlformats.org/officeDocument/2006/relationships/hyperlink" Target="https://doi.org/10.1016/s0027-9684(15)31408-5" TargetMode="External"/><Relationship Id="rId18" Type="http://schemas.openxmlformats.org/officeDocument/2006/relationships/hyperlink" Target="https://doi.org/10.34172/jcs.2021.014" TargetMode="External"/><Relationship Id="rId39" Type="http://schemas.openxmlformats.org/officeDocument/2006/relationships/hyperlink" Target="https://doi.org/10.1590/s1516-44462010005000017" TargetMode="External"/><Relationship Id="rId109" Type="http://schemas.openxmlformats.org/officeDocument/2006/relationships/hyperlink" Target="https://doi.org/10.1080/03601271003689514" TargetMode="External"/><Relationship Id="rId34" Type="http://schemas.openxmlformats.org/officeDocument/2006/relationships/hyperlink" Target="https://doi.org/10.1080/03601277.2012.701157" TargetMode="External"/><Relationship Id="rId50" Type="http://schemas.openxmlformats.org/officeDocument/2006/relationships/hyperlink" Target="https://doi.org/10.1136/bmj.a506" TargetMode="External"/><Relationship Id="rId55" Type="http://schemas.openxmlformats.org/officeDocument/2006/relationships/hyperlink" Target="https://doi.org/10.1521/aeap.2020.32.1.67" TargetMode="External"/><Relationship Id="rId76" Type="http://schemas.openxmlformats.org/officeDocument/2006/relationships/hyperlink" Target="https://doi.org/10.1111/j.1365-2214.2008.00897.x" TargetMode="External"/><Relationship Id="rId97" Type="http://schemas.openxmlformats.org/officeDocument/2006/relationships/hyperlink" Target="https://doi.org/10.1016/j.wpsyc.2012.05.008" TargetMode="External"/><Relationship Id="rId104" Type="http://schemas.openxmlformats.org/officeDocument/2006/relationships/hyperlink" Target="https://doi.org/10.1111/dme.14491" TargetMode="External"/><Relationship Id="rId7" Type="http://schemas.openxmlformats.org/officeDocument/2006/relationships/hyperlink" Target="https://doi.org/10.1136/bmj.g5785" TargetMode="External"/><Relationship Id="rId71" Type="http://schemas.openxmlformats.org/officeDocument/2006/relationships/hyperlink" Target="https://doi.org/10.1080/07399332.2020.1797038" TargetMode="External"/><Relationship Id="rId92" Type="http://schemas.openxmlformats.org/officeDocument/2006/relationships/hyperlink" Target="https://doi.org/10.1177/0886260517736881" TargetMode="External"/><Relationship Id="rId2" Type="http://schemas.openxmlformats.org/officeDocument/2006/relationships/hyperlink" Target="https://doi.org/10.1111/j.1469-7610.2011.02407.x" TargetMode="External"/><Relationship Id="rId29" Type="http://schemas.openxmlformats.org/officeDocument/2006/relationships/hyperlink" Target="https://doi.org/10.1001/jamapsychiatry.2018.3048" TargetMode="External"/><Relationship Id="rId24" Type="http://schemas.openxmlformats.org/officeDocument/2006/relationships/hyperlink" Target="https://doi.org/10.1136/bmj.b974" TargetMode="External"/><Relationship Id="rId40" Type="http://schemas.openxmlformats.org/officeDocument/2006/relationships/hyperlink" Target="https://doi.org/10.1016/j.ajp.2019.101864" TargetMode="External"/><Relationship Id="rId45" Type="http://schemas.openxmlformats.org/officeDocument/2006/relationships/hyperlink" Target="https://doi.org/10.1007/s00038-018-1101-y" TargetMode="External"/><Relationship Id="rId66" Type="http://schemas.openxmlformats.org/officeDocument/2006/relationships/hyperlink" Target="https://doi.org/10.1067/mpd.2000.110135" TargetMode="External"/><Relationship Id="rId87" Type="http://schemas.openxmlformats.org/officeDocument/2006/relationships/hyperlink" Target="https://doi.org/10.1136/bmjopen-2020-040287" TargetMode="External"/><Relationship Id="rId61" Type="http://schemas.openxmlformats.org/officeDocument/2006/relationships/hyperlink" Target="https://doi.org/10.1037/hea0000503" TargetMode="External"/><Relationship Id="rId82" Type="http://schemas.openxmlformats.org/officeDocument/2006/relationships/hyperlink" Target="https://doi.org/10.2196/25772" TargetMode="External"/><Relationship Id="rId19" Type="http://schemas.openxmlformats.org/officeDocument/2006/relationships/hyperlink" Target="https://doi.org/10.1542/peds.2015-0119" TargetMode="External"/><Relationship Id="rId14" Type="http://schemas.openxmlformats.org/officeDocument/2006/relationships/hyperlink" Target="https://doi.org/10.1177/1363461518793749" TargetMode="External"/><Relationship Id="rId30" Type="http://schemas.openxmlformats.org/officeDocument/2006/relationships/hyperlink" Target="https://doi.org/10.1177/1049731517699525" TargetMode="External"/><Relationship Id="rId35" Type="http://schemas.openxmlformats.org/officeDocument/2006/relationships/hyperlink" Target="https://doi.org/10.1371/journal.pmed.1003808" TargetMode="External"/><Relationship Id="rId56" Type="http://schemas.openxmlformats.org/officeDocument/2006/relationships/hyperlink" Target="https://doi.org/10.1016/j.chiabu.2017.08.014" TargetMode="External"/><Relationship Id="rId77" Type="http://schemas.openxmlformats.org/officeDocument/2006/relationships/hyperlink" Target="https://doi.org/10.4103/ijnmr.ijnmr_207_18" TargetMode="External"/><Relationship Id="rId100" Type="http://schemas.openxmlformats.org/officeDocument/2006/relationships/hyperlink" Target="https://doi.org/10.1111/j.1740-8709.2012.00413.x" TargetMode="External"/><Relationship Id="rId105" Type="http://schemas.openxmlformats.org/officeDocument/2006/relationships/hyperlink" Target="https://doi.org/10.1002/nop2.917" TargetMode="External"/><Relationship Id="rId8" Type="http://schemas.openxmlformats.org/officeDocument/2006/relationships/hyperlink" Target="https://doi.org/10.1136/adc.2005.073015" TargetMode="External"/><Relationship Id="rId51" Type="http://schemas.openxmlformats.org/officeDocument/2006/relationships/hyperlink" Target="https://doi.org/10.2147/DMSO.S290029" TargetMode="External"/><Relationship Id="rId72" Type="http://schemas.openxmlformats.org/officeDocument/2006/relationships/hyperlink" Target="https://doi.org/10.1016/j.chiabu.2014.02.004" TargetMode="External"/><Relationship Id="rId93" Type="http://schemas.openxmlformats.org/officeDocument/2006/relationships/hyperlink" Target="https://doi.org/10.1016/j.ijnurstu.2019.02.019" TargetMode="External"/><Relationship Id="rId98" Type="http://schemas.openxmlformats.org/officeDocument/2006/relationships/hyperlink" Target="https://doi.org/10.1016/s0140-6736(04)17021-9" TargetMode="External"/><Relationship Id="rId3" Type="http://schemas.openxmlformats.org/officeDocument/2006/relationships/hyperlink" Target="https://doi.org/10.1007/s10566-019-09535-3" TargetMode="External"/><Relationship Id="rId25" Type="http://schemas.openxmlformats.org/officeDocument/2006/relationships/hyperlink" Target="https://doi.org/10.29252/ANM.27792" TargetMode="External"/><Relationship Id="rId46" Type="http://schemas.openxmlformats.org/officeDocument/2006/relationships/hyperlink" Target="https://doi.org/10.1007/s11121-017-0822-0" TargetMode="External"/><Relationship Id="rId67" Type="http://schemas.openxmlformats.org/officeDocument/2006/relationships/hyperlink" Target="https://doi.org/10.1016/j.chiabu.2020.104512" TargetMode="External"/><Relationship Id="rId20" Type="http://schemas.openxmlformats.org/officeDocument/2006/relationships/hyperlink" Target="https://doi.org/10.1097/gme.0b013e318167b902" TargetMode="External"/><Relationship Id="rId41" Type="http://schemas.openxmlformats.org/officeDocument/2006/relationships/hyperlink" Target="https://doi.org/10.22038/jmrh.2019.44596.1535" TargetMode="External"/><Relationship Id="rId62" Type="http://schemas.openxmlformats.org/officeDocument/2006/relationships/hyperlink" Target="https://doi.org/10.1080/10376178.2020.1729827" TargetMode="External"/><Relationship Id="rId83" Type="http://schemas.openxmlformats.org/officeDocument/2006/relationships/hyperlink" Target="https://doi.org/10.1016/j.ctcp.2021.101434" TargetMode="External"/><Relationship Id="rId88" Type="http://schemas.openxmlformats.org/officeDocument/2006/relationships/hyperlink" Target="https://doi.org/10.1017/s204579602000041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18502/ijrm.v13i5.7150" TargetMode="External"/><Relationship Id="rId13" Type="http://schemas.openxmlformats.org/officeDocument/2006/relationships/hyperlink" Target="https://doi.org/10.1093/humrep/dew120" TargetMode="External"/><Relationship Id="rId18" Type="http://schemas.openxmlformats.org/officeDocument/2006/relationships/hyperlink" Target="https://doi.org/10.1016/j.fertnstert.2007.07.370" TargetMode="External"/><Relationship Id="rId26" Type="http://schemas.openxmlformats.org/officeDocument/2006/relationships/hyperlink" Target="https://doi.org/10.1016/s1472-6483(10)61434-4" TargetMode="External"/><Relationship Id="rId3" Type="http://schemas.openxmlformats.org/officeDocument/2006/relationships/hyperlink" Target="https://doi.org/10.1016/s0015-0282(16)58405-2" TargetMode="External"/><Relationship Id="rId21" Type="http://schemas.openxmlformats.org/officeDocument/2006/relationships/hyperlink" Target="https://doi.org/10.18502/ijrm.v17i12.5793" TargetMode="External"/><Relationship Id="rId7" Type="http://schemas.openxmlformats.org/officeDocument/2006/relationships/hyperlink" Target="https://doi.org/10.3923/jms.2007.880.883" TargetMode="External"/><Relationship Id="rId12" Type="http://schemas.openxmlformats.org/officeDocument/2006/relationships/hyperlink" Target="https://doi.org/10.1007/s10815-016-0736-y" TargetMode="External"/><Relationship Id="rId17" Type="http://schemas.openxmlformats.org/officeDocument/2006/relationships/hyperlink" Target="https://doi.org/10.1016/s0015-0282(16)57428-7" TargetMode="External"/><Relationship Id="rId25" Type="http://schemas.openxmlformats.org/officeDocument/2006/relationships/hyperlink" Target="https://doi.org/10.1016/j.fertnstert.2009.07.1654" TargetMode="External"/><Relationship Id="rId2" Type="http://schemas.openxmlformats.org/officeDocument/2006/relationships/hyperlink" Target="https://doi.org/10.29252/ijrm.15.2.83" TargetMode="External"/><Relationship Id="rId16" Type="http://schemas.openxmlformats.org/officeDocument/2006/relationships/hyperlink" Target="https://doi.org/10.1016/j.fertnstert.2014.07.777" TargetMode="External"/><Relationship Id="rId20" Type="http://schemas.openxmlformats.org/officeDocument/2006/relationships/hyperlink" Target="https://doi.org/10.29252/ijrm.16.9.587" TargetMode="External"/><Relationship Id="rId1" Type="http://schemas.openxmlformats.org/officeDocument/2006/relationships/hyperlink" Target="https://doi.org/10.4274/tjod.47855" TargetMode="External"/><Relationship Id="rId6" Type="http://schemas.openxmlformats.org/officeDocument/2006/relationships/hyperlink" Target="https://doi.org/10.1016/s0015-0282(02)02960-6" TargetMode="External"/><Relationship Id="rId11" Type="http://schemas.openxmlformats.org/officeDocument/2006/relationships/hyperlink" Target="https://doi.org/10.1016/j.fertnstert.2005.12.048" TargetMode="External"/><Relationship Id="rId24" Type="http://schemas.openxmlformats.org/officeDocument/2006/relationships/hyperlink" Target="https://doi.org/10.1016/j.fertnstert.2007.07.890" TargetMode="External"/><Relationship Id="rId5" Type="http://schemas.openxmlformats.org/officeDocument/2006/relationships/hyperlink" Target="https://doi.org/10.1016/j.fertnstert.2015.07.1131" TargetMode="External"/><Relationship Id="rId15" Type="http://schemas.openxmlformats.org/officeDocument/2006/relationships/hyperlink" Target="https://doi.org/10.1111/jog.13802" TargetMode="External"/><Relationship Id="rId23" Type="http://schemas.openxmlformats.org/officeDocument/2006/relationships/hyperlink" Target="https://doi.org/10.29252/ijrm.16.1.51" TargetMode="External"/><Relationship Id="rId10" Type="http://schemas.openxmlformats.org/officeDocument/2006/relationships/hyperlink" Target="https://doi.org/10.1093/humrep/deh183" TargetMode="External"/><Relationship Id="rId19" Type="http://schemas.openxmlformats.org/officeDocument/2006/relationships/hyperlink" Target="https://doi.org/10.1093/oxfordjournals.humrep.a138790" TargetMode="External"/><Relationship Id="rId4" Type="http://schemas.openxmlformats.org/officeDocument/2006/relationships/hyperlink" Target="https://doi.org/10.1016/s0015-0282(02)03043-1" TargetMode="External"/><Relationship Id="rId9" Type="http://schemas.openxmlformats.org/officeDocument/2006/relationships/hyperlink" Target="https://doi.org/10.1016/j.fertnstert.2007.07.1106" TargetMode="External"/><Relationship Id="rId14" Type="http://schemas.openxmlformats.org/officeDocument/2006/relationships/hyperlink" Target="https://doi.org/10.1007/s10815-018-1380-5" TargetMode="External"/><Relationship Id="rId22" Type="http://schemas.openxmlformats.org/officeDocument/2006/relationships/hyperlink" Target="https://doi.org/10.5935/1518-0557.2018004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177/0268355516651026" TargetMode="External"/><Relationship Id="rId13" Type="http://schemas.openxmlformats.org/officeDocument/2006/relationships/hyperlink" Target="https://doi.org/10.1097/sla.0b013e318230af5a" TargetMode="External"/><Relationship Id="rId18" Type="http://schemas.openxmlformats.org/officeDocument/2006/relationships/hyperlink" Target="https://doi.org/10.1016/j.jvir.2009.03.008" TargetMode="External"/><Relationship Id="rId3" Type="http://schemas.openxmlformats.org/officeDocument/2006/relationships/hyperlink" Target="https://doi.org/10.1016/s0741-5214(03)00228-3" TargetMode="External"/><Relationship Id="rId21" Type="http://schemas.openxmlformats.org/officeDocument/2006/relationships/hyperlink" Target="https://doi.org/10.1002/bjs.6867" TargetMode="External"/><Relationship Id="rId7" Type="http://schemas.openxmlformats.org/officeDocument/2006/relationships/hyperlink" Target="https://doi.org/10.1002/bjs.7394" TargetMode="External"/><Relationship Id="rId12" Type="http://schemas.openxmlformats.org/officeDocument/2006/relationships/hyperlink" Target="https://doi.org/10.1016/j.jvs.2014.11.071" TargetMode="External"/><Relationship Id="rId17" Type="http://schemas.openxmlformats.org/officeDocument/2006/relationships/hyperlink" Target="https://doi.org/10.1067/mva.2002.123096" TargetMode="External"/><Relationship Id="rId2" Type="http://schemas.openxmlformats.org/officeDocument/2006/relationships/hyperlink" Target="https://doi.org/10.1002/bjs.6101" TargetMode="External"/><Relationship Id="rId16" Type="http://schemas.openxmlformats.org/officeDocument/2006/relationships/hyperlink" Target="https://doi.org/10.1002/bjs.7555" TargetMode="External"/><Relationship Id="rId20" Type="http://schemas.openxmlformats.org/officeDocument/2006/relationships/hyperlink" Target="https://doi.org/10.1002/bjs.7091" TargetMode="External"/><Relationship Id="rId1" Type="http://schemas.openxmlformats.org/officeDocument/2006/relationships/hyperlink" Target="https://doi.org/10.1024/0301-1526/a000792" TargetMode="External"/><Relationship Id="rId6" Type="http://schemas.openxmlformats.org/officeDocument/2006/relationships/hyperlink" Target="https://doi.org/10.1177/0003319710380680" TargetMode="External"/><Relationship Id="rId11" Type="http://schemas.openxmlformats.org/officeDocument/2006/relationships/hyperlink" Target="https://doi.org/10.1016/j.jvsv.2018.12.014" TargetMode="External"/><Relationship Id="rId24" Type="http://schemas.openxmlformats.org/officeDocument/2006/relationships/hyperlink" Target="https://doi.org/10.1002/bjs.10260" TargetMode="External"/><Relationship Id="rId5" Type="http://schemas.openxmlformats.org/officeDocument/2006/relationships/hyperlink" Target="https://doi.org/10.1002/bjs.8822" TargetMode="External"/><Relationship Id="rId15" Type="http://schemas.openxmlformats.org/officeDocument/2006/relationships/hyperlink" Target="https://doi.org/10.1016/j.jvs.2007.03.053" TargetMode="External"/><Relationship Id="rId23" Type="http://schemas.openxmlformats.org/officeDocument/2006/relationships/hyperlink" Target="https://doi.org/10.1002/bjs.11158" TargetMode="External"/><Relationship Id="rId10" Type="http://schemas.openxmlformats.org/officeDocument/2006/relationships/hyperlink" Target="https://doi.org/10.1016/j.jvs.2012.12.074" TargetMode="External"/><Relationship Id="rId19" Type="http://schemas.openxmlformats.org/officeDocument/2006/relationships/hyperlink" Target="about:blank" TargetMode="External"/><Relationship Id="rId4" Type="http://schemas.openxmlformats.org/officeDocument/2006/relationships/hyperlink" Target="https://doi.org/10.1258/phleb.2011.011147" TargetMode="External"/><Relationship Id="rId9" Type="http://schemas.openxmlformats.org/officeDocument/2006/relationships/hyperlink" Target="https://doi.org/10.1002/bjs.9580" TargetMode="External"/><Relationship Id="rId14" Type="http://schemas.openxmlformats.org/officeDocument/2006/relationships/hyperlink" Target="https://doi.org/10.1016/j.ejvs.2010.08.007" TargetMode="External"/><Relationship Id="rId22" Type="http://schemas.openxmlformats.org/officeDocument/2006/relationships/hyperlink" Target="https://doi.org/10.1177/0268355516658592"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doi.org/10.1111/j.1442-200x.2011.03325.x" TargetMode="External"/><Relationship Id="rId18" Type="http://schemas.openxmlformats.org/officeDocument/2006/relationships/hyperlink" Target="https://doi.org/10.1097/mcg.0b013e31816fc2f6" TargetMode="External"/><Relationship Id="rId26" Type="http://schemas.openxmlformats.org/officeDocument/2006/relationships/hyperlink" Target="https://doi.org/10.3329/cmoshmcj.v18i1.42128" TargetMode="External"/><Relationship Id="rId39" Type="http://schemas.openxmlformats.org/officeDocument/2006/relationships/hyperlink" Target="https://doi.org/10.3390/nu9080887" TargetMode="External"/><Relationship Id="rId21" Type="http://schemas.openxmlformats.org/officeDocument/2006/relationships/hyperlink" Target="https://doi.org/10.1155/2012/787240" TargetMode="External"/><Relationship Id="rId34" Type="http://schemas.openxmlformats.org/officeDocument/2006/relationships/hyperlink" Target="https://doi.org/10.1007/s00228-018-2562-x" TargetMode="External"/><Relationship Id="rId42" Type="http://schemas.openxmlformats.org/officeDocument/2006/relationships/hyperlink" Target="https://doi.org/10.1007/s12098-011-0573-z" TargetMode="External"/><Relationship Id="rId47" Type="http://schemas.openxmlformats.org/officeDocument/2006/relationships/hyperlink" Target="https://doi.org/10.1056/nejmoa1802598" TargetMode="External"/><Relationship Id="rId50" Type="http://schemas.openxmlformats.org/officeDocument/2006/relationships/hyperlink" Target="https://doi.org/10.1097/00005176-199704000-00008" TargetMode="External"/><Relationship Id="rId55" Type="http://schemas.openxmlformats.org/officeDocument/2006/relationships/hyperlink" Target="https://doi.org/10.1097/inf.0000000000002355" TargetMode="External"/><Relationship Id="rId7" Type="http://schemas.openxmlformats.org/officeDocument/2006/relationships/hyperlink" Target="https://doi.org/10.4103/0976-500x.114603" TargetMode="External"/><Relationship Id="rId2" Type="http://schemas.openxmlformats.org/officeDocument/2006/relationships/hyperlink" Target="https://doi.org/10.1097/mcg.0b013e31815a5780" TargetMode="External"/><Relationship Id="rId16" Type="http://schemas.openxmlformats.org/officeDocument/2006/relationships/hyperlink" Target="https://doi.org/10.1016/j.jped.2014.10.009" TargetMode="External"/><Relationship Id="rId29" Type="http://schemas.openxmlformats.org/officeDocument/2006/relationships/hyperlink" Target="https://doi.org/10.1097/inf.0b013e318169034c" TargetMode="External"/><Relationship Id="rId11" Type="http://schemas.openxmlformats.org/officeDocument/2006/relationships/hyperlink" Target="https://doi.org/10.1097/mpg.0b013e31822b7ab0" TargetMode="External"/><Relationship Id="rId24" Type="http://schemas.openxmlformats.org/officeDocument/2006/relationships/hyperlink" Target="https://doi.org/10.1097/00005176-200001000-00018" TargetMode="External"/><Relationship Id="rId32" Type="http://schemas.openxmlformats.org/officeDocument/2006/relationships/hyperlink" Target="https://doi.org/10.1007/bf02087695" TargetMode="External"/><Relationship Id="rId37" Type="http://schemas.openxmlformats.org/officeDocument/2006/relationships/hyperlink" Target="https://doi.org/10.1177/147323000703500204" TargetMode="External"/><Relationship Id="rId40" Type="http://schemas.openxmlformats.org/officeDocument/2006/relationships/hyperlink" Target="https://doi.org/10.1097/00006454-199502000-00005" TargetMode="External"/><Relationship Id="rId45" Type="http://schemas.openxmlformats.org/officeDocument/2006/relationships/hyperlink" Target="https://doi.org/10.1097/00006454-200205000-00013" TargetMode="External"/><Relationship Id="rId53" Type="http://schemas.openxmlformats.org/officeDocument/2006/relationships/hyperlink" Target="https://doi.org/10.3920/bm2018.0094" TargetMode="External"/><Relationship Id="rId58" Type="http://schemas.openxmlformats.org/officeDocument/2006/relationships/hyperlink" Target="https://doi.org/10.1111/j.1651-2227.2007.00191.x" TargetMode="External"/><Relationship Id="rId5" Type="http://schemas.openxmlformats.org/officeDocument/2006/relationships/hyperlink" Target="https://doi.org/10.3748/wjg.v12.i28.4557" TargetMode="External"/><Relationship Id="rId19" Type="http://schemas.openxmlformats.org/officeDocument/2006/relationships/hyperlink" Target="https://doi.org/10.1111/j.1365-3156.2011.02745.x" TargetMode="External"/><Relationship Id="rId4" Type="http://schemas.openxmlformats.org/officeDocument/2006/relationships/hyperlink" Target="https://doi.org/10.1016/s0022-3476(98)70398-1" TargetMode="External"/><Relationship Id="rId9" Type="http://schemas.openxmlformats.org/officeDocument/2006/relationships/hyperlink" Target="https://doi.org/10.1136/bmj.39272.581736.55" TargetMode="External"/><Relationship Id="rId14" Type="http://schemas.openxmlformats.org/officeDocument/2006/relationships/hyperlink" Target="https://doi.org/10.1093/tropej/fmw032" TargetMode="External"/><Relationship Id="rId22" Type="http://schemas.openxmlformats.org/officeDocument/2006/relationships/hyperlink" Target="https://doi.org/10.1111/j.1365-2036.2012.05180.x" TargetMode="External"/><Relationship Id="rId27" Type="http://schemas.openxmlformats.org/officeDocument/2006/relationships/hyperlink" Target="https://doi.org/10.1007/s12098-014-1408-5" TargetMode="External"/><Relationship Id="rId30" Type="http://schemas.openxmlformats.org/officeDocument/2006/relationships/hyperlink" Target="https://doi.org/10.1097/inf.0000000000001712" TargetMode="External"/><Relationship Id="rId35" Type="http://schemas.openxmlformats.org/officeDocument/2006/relationships/hyperlink" Target="https://doi.org/10.1007/s12098-008-0134-2" TargetMode="External"/><Relationship Id="rId43" Type="http://schemas.openxmlformats.org/officeDocument/2006/relationships/hyperlink" Target="https://doi.org/10.1097/mpg.0b013e3181bbf53d" TargetMode="External"/><Relationship Id="rId48" Type="http://schemas.openxmlformats.org/officeDocument/2006/relationships/hyperlink" Target="https://doi.org/10.1111/j.1651-2227.1997.tb08913.x" TargetMode="External"/><Relationship Id="rId56" Type="http://schemas.openxmlformats.org/officeDocument/2006/relationships/hyperlink" Target="https://doi.org/10.1016/j.ijid.2008.09.014" TargetMode="External"/><Relationship Id="rId8" Type="http://schemas.openxmlformats.org/officeDocument/2006/relationships/hyperlink" Target="https://doi.org/10.3109/00365529609051997" TargetMode="External"/><Relationship Id="rId51" Type="http://schemas.openxmlformats.org/officeDocument/2006/relationships/hyperlink" Target="https://doi.org/10.5897/JCMR12.014" TargetMode="External"/><Relationship Id="rId3" Type="http://schemas.openxmlformats.org/officeDocument/2006/relationships/hyperlink" Target="https://doi.org/10.18203/2349-3291.ijcp20182582" TargetMode="External"/><Relationship Id="rId12" Type="http://schemas.openxmlformats.org/officeDocument/2006/relationships/hyperlink" Target="https://doi.org/10.1097/00005176-200301000-00021" TargetMode="External"/><Relationship Id="rId17" Type="http://schemas.openxmlformats.org/officeDocument/2006/relationships/hyperlink" Target="https://doi.org/10.3920/bm2014.0086" TargetMode="External"/><Relationship Id="rId25" Type="http://schemas.openxmlformats.org/officeDocument/2006/relationships/hyperlink" Target="https://doi.org/10.1097/00005176-199711000-00005" TargetMode="External"/><Relationship Id="rId33" Type="http://schemas.openxmlformats.org/officeDocument/2006/relationships/hyperlink" Target="https://doi.org/10.1111/j.1651-2227.2005.tb01786.x" TargetMode="External"/><Relationship Id="rId38" Type="http://schemas.openxmlformats.org/officeDocument/2006/relationships/hyperlink" Target="https://doi.org/10.1093/tropej/42.3.162" TargetMode="External"/><Relationship Id="rId46" Type="http://schemas.openxmlformats.org/officeDocument/2006/relationships/hyperlink" Target="https://doi.org/10.1542/peds.2004-2334" TargetMode="External"/><Relationship Id="rId59" Type="http://schemas.openxmlformats.org/officeDocument/2006/relationships/hyperlink" Target="https://doi.org/10.1177/030006058901700405" TargetMode="External"/><Relationship Id="rId20" Type="http://schemas.openxmlformats.org/officeDocument/2006/relationships/hyperlink" Target="https://doi.org/10.3889/oamjms.2015.088" TargetMode="External"/><Relationship Id="rId41" Type="http://schemas.openxmlformats.org/officeDocument/2006/relationships/hyperlink" Target="https://doi.org/10.1179/146532810x12858955921159" TargetMode="External"/><Relationship Id="rId54" Type="http://schemas.openxmlformats.org/officeDocument/2006/relationships/hyperlink" Target="https://doi.org/10.1111/j.1365-2036.2006.02740.x" TargetMode="External"/><Relationship Id="rId1" Type="http://schemas.openxmlformats.org/officeDocument/2006/relationships/hyperlink" Target="https://doi.org/10.1111/j.1440-1754.2007.01201.x" TargetMode="External"/><Relationship Id="rId6" Type="http://schemas.openxmlformats.org/officeDocument/2006/relationships/hyperlink" Target="https://doi.org/10.1097/00005176-200109000-00015" TargetMode="External"/><Relationship Id="rId15" Type="http://schemas.openxmlformats.org/officeDocument/2006/relationships/hyperlink" Target="https://doi.org/10.1111/apa.12617" TargetMode="External"/><Relationship Id="rId23" Type="http://schemas.openxmlformats.org/officeDocument/2006/relationships/hyperlink" Target="https://doi.org/10.1177/0009922815569200" TargetMode="External"/><Relationship Id="rId28" Type="http://schemas.openxmlformats.org/officeDocument/2006/relationships/hyperlink" Target="https://doi.org/10.1007/s00431-007-0419-x" TargetMode="External"/><Relationship Id="rId36" Type="http://schemas.openxmlformats.org/officeDocument/2006/relationships/hyperlink" Target="https://doi.org/10.1097/pec.0b013e31826cad9f" TargetMode="External"/><Relationship Id="rId49" Type="http://schemas.openxmlformats.org/officeDocument/2006/relationships/hyperlink" Target="https://doi.org/10.1097/00006454-199712000-00002" TargetMode="External"/><Relationship Id="rId57" Type="http://schemas.openxmlformats.org/officeDocument/2006/relationships/hyperlink" Target="https://doi.org/10.18203/2349-3291.ijcp20183511" TargetMode="External"/><Relationship Id="rId10" Type="http://schemas.openxmlformats.org/officeDocument/2006/relationships/hyperlink" Target="https://doi.org/10.1097/inf.0b013e3181b530bf" TargetMode="External"/><Relationship Id="rId31" Type="http://schemas.openxmlformats.org/officeDocument/2006/relationships/hyperlink" Target="https://doi.org/10.1097/mcg.0b013e31828f1c6e" TargetMode="External"/><Relationship Id="rId44" Type="http://schemas.openxmlformats.org/officeDocument/2006/relationships/hyperlink" Target="https://doi.org/10.1097/00006454-200205000-00012" TargetMode="External"/><Relationship Id="rId52" Type="http://schemas.openxmlformats.org/officeDocument/2006/relationships/hyperlink" Target="https://doi.org/10.26611/1012434" TargetMode="External"/><Relationship Id="rId60" Type="http://schemas.openxmlformats.org/officeDocument/2006/relationships/hyperlink" Target="https://doi.org/10.7499/j.issn.1008-8830.2013.11.018"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016/0002-9378(87)90359-0" TargetMode="External"/><Relationship Id="rId13" Type="http://schemas.openxmlformats.org/officeDocument/2006/relationships/hyperlink" Target="https://doi.org/10.1097/01.aog.0000255665.77009.94" TargetMode="External"/><Relationship Id="rId18" Type="http://schemas.openxmlformats.org/officeDocument/2006/relationships/hyperlink" Target="https://doi.org/10.1097/aog.0000000000001154" TargetMode="External"/><Relationship Id="rId26" Type="http://schemas.openxmlformats.org/officeDocument/2006/relationships/hyperlink" Target="https://doi.org/10.1056/nejmoa1509117" TargetMode="External"/><Relationship Id="rId3" Type="http://schemas.openxmlformats.org/officeDocument/2006/relationships/hyperlink" Target="https://doi.org/10.3109/00016348909006139" TargetMode="External"/><Relationship Id="rId21" Type="http://schemas.openxmlformats.org/officeDocument/2006/relationships/hyperlink" Target="https://doi.org/10.1016/s0020-7292(97)00179-3" TargetMode="External"/><Relationship Id="rId7" Type="http://schemas.openxmlformats.org/officeDocument/2006/relationships/hyperlink" Target="https://doi.org/10.1016/S0140-6736(75)92435-6" TargetMode="External"/><Relationship Id="rId12" Type="http://schemas.openxmlformats.org/officeDocument/2006/relationships/hyperlink" Target="https://doi.org/10.1056/nejm199206113262402" TargetMode="External"/><Relationship Id="rId17" Type="http://schemas.openxmlformats.org/officeDocument/2006/relationships/hyperlink" Target="https://doi.org/10.1111/j.1471-0528.1978.tb10462.x" TargetMode="External"/><Relationship Id="rId25" Type="http://schemas.openxmlformats.org/officeDocument/2006/relationships/hyperlink" Target="https://doi.org/10.3109/00016347909154610" TargetMode="External"/><Relationship Id="rId2" Type="http://schemas.openxmlformats.org/officeDocument/2006/relationships/hyperlink" Target="https://doi.org/10.1016/j.ejogrb.2017.08.038" TargetMode="External"/><Relationship Id="rId16" Type="http://schemas.openxmlformats.org/officeDocument/2006/relationships/hyperlink" Target="https://doi.org/10.1136/bmj.l344" TargetMode="External"/><Relationship Id="rId20" Type="http://schemas.openxmlformats.org/officeDocument/2006/relationships/hyperlink" Target="https://doi.org/10.1080/14767050500139604" TargetMode="External"/><Relationship Id="rId1" Type="http://schemas.openxmlformats.org/officeDocument/2006/relationships/hyperlink" Target="https://doi.org/10.1136/bmj.294.6581.1192" TargetMode="External"/><Relationship Id="rId6" Type="http://schemas.openxmlformats.org/officeDocument/2006/relationships/hyperlink" Target="https://doi.org/10.1016/s0301-2115(02)00243-9" TargetMode="External"/><Relationship Id="rId11" Type="http://schemas.openxmlformats.org/officeDocument/2006/relationships/hyperlink" Target="https://doi.org/10.1056/nejmoa1800566" TargetMode="External"/><Relationship Id="rId24" Type="http://schemas.openxmlformats.org/officeDocument/2006/relationships/hyperlink" Target="https://doi.org/10.1186/s12884-019-2602-2" TargetMode="External"/><Relationship Id="rId5" Type="http://schemas.openxmlformats.org/officeDocument/2006/relationships/hyperlink" Target="https://doi.org/10.1016/S0020-7292(00)80498-1" TargetMode="External"/><Relationship Id="rId15" Type="http://schemas.openxmlformats.org/officeDocument/2006/relationships/hyperlink" Target="https://doi.org/10.1016/0020-7292(92)90325-d" TargetMode="External"/><Relationship Id="rId23" Type="http://schemas.openxmlformats.org/officeDocument/2006/relationships/hyperlink" Target="https://doi.org/10.1016/0020-7292(83)90025-5" TargetMode="External"/><Relationship Id="rId28" Type="http://schemas.openxmlformats.org/officeDocument/2006/relationships/hyperlink" Target="https://doi.org/10.1055/s-2007-999774" TargetMode="External"/><Relationship Id="rId10" Type="http://schemas.openxmlformats.org/officeDocument/2006/relationships/hyperlink" Target="https://doi.org/10.1016/j.ejogrb.2004.08.013" TargetMode="External"/><Relationship Id="rId19" Type="http://schemas.openxmlformats.org/officeDocument/2006/relationships/hyperlink" Target="https://doi.org/10.1016/S0002-9378(94)70269-1" TargetMode="External"/><Relationship Id="rId4" Type="http://schemas.openxmlformats.org/officeDocument/2006/relationships/hyperlink" Target="https://doi.org/10.1111/aogs.12447" TargetMode="External"/><Relationship Id="rId9" Type="http://schemas.openxmlformats.org/officeDocument/2006/relationships/hyperlink" Target="https://doi.org/10.1159/000293605" TargetMode="External"/><Relationship Id="rId14" Type="http://schemas.openxmlformats.org/officeDocument/2006/relationships/hyperlink" Target="https://doi.org/10.1111/j.1471-0528.1969.tb06180.x" TargetMode="External"/><Relationship Id="rId22" Type="http://schemas.openxmlformats.org/officeDocument/2006/relationships/hyperlink" Target="https://doi.org/10.1016/s0368-2315(05)82853-4" TargetMode="External"/><Relationship Id="rId27" Type="http://schemas.openxmlformats.org/officeDocument/2006/relationships/hyperlink" Target="https://doi.org/10.1136/bmj.l6131"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doi.org/10.1186/s12909-020-02240-z?urlappend=%3Futm_source%3Dresearchgate.net%26utm_medium%3Darticle" TargetMode="External"/><Relationship Id="rId18" Type="http://schemas.openxmlformats.org/officeDocument/2006/relationships/hyperlink" Target="https://doi.org/10.1080/0142159x.2018.1426837" TargetMode="External"/><Relationship Id="rId26" Type="http://schemas.openxmlformats.org/officeDocument/2006/relationships/hyperlink" Target="https://doi.org/10.1111/jjns.12176" TargetMode="External"/><Relationship Id="rId39" Type="http://schemas.openxmlformats.org/officeDocument/2006/relationships/hyperlink" Target="https://doi.org/10.1016/j.nedt.2019.104262" TargetMode="External"/><Relationship Id="rId21" Type="http://schemas.openxmlformats.org/officeDocument/2006/relationships/hyperlink" Target="https://doi.org/10.1152/advan.00153.2019" TargetMode="External"/><Relationship Id="rId34" Type="http://schemas.openxmlformats.org/officeDocument/2006/relationships/hyperlink" Target="https://doi.org/10.5688/ajpe7810185" TargetMode="External"/><Relationship Id="rId7" Type="http://schemas.openxmlformats.org/officeDocument/2006/relationships/hyperlink" Target="https://doi.org/10.1016/j.cptl.2016.06.011" TargetMode="External"/><Relationship Id="rId2" Type="http://schemas.openxmlformats.org/officeDocument/2006/relationships/hyperlink" Target="https://doi.org/10.1002/ase.1664" TargetMode="External"/><Relationship Id="rId16" Type="http://schemas.openxmlformats.org/officeDocument/2006/relationships/hyperlink" Target="https://doi.org/10.5480/13-1255" TargetMode="External"/><Relationship Id="rId20" Type="http://schemas.openxmlformats.org/officeDocument/2006/relationships/hyperlink" Target="https://doi.org/10.3928/01484834-20130919-03" TargetMode="External"/><Relationship Id="rId29" Type="http://schemas.openxmlformats.org/officeDocument/2006/relationships/hyperlink" Target="https://doi.org/10.1002/ase.1544" TargetMode="External"/><Relationship Id="rId41" Type="http://schemas.openxmlformats.org/officeDocument/2006/relationships/hyperlink" Target="https://doi.org/10.1371/journal.pone.0257208" TargetMode="External"/><Relationship Id="rId1" Type="http://schemas.openxmlformats.org/officeDocument/2006/relationships/hyperlink" Target="https://doi.org/10.5688/ajpe81470" TargetMode="External"/><Relationship Id="rId6" Type="http://schemas.openxmlformats.org/officeDocument/2006/relationships/hyperlink" Target="https://doi.org/10.1016/j.soscij.2019.09.002" TargetMode="External"/><Relationship Id="rId11" Type="http://schemas.openxmlformats.org/officeDocument/2006/relationships/hyperlink" Target="https://doi.org/10.5455/njppp.2019.9.0310829032019" TargetMode="External"/><Relationship Id="rId24" Type="http://schemas.openxmlformats.org/officeDocument/2006/relationships/hyperlink" Target="https://doi.org/10.1016/j.acra.2016.02.011" TargetMode="External"/><Relationship Id="rId32" Type="http://schemas.openxmlformats.org/officeDocument/2006/relationships/hyperlink" Target="https://doi.org/10.7759/cureus.11408" TargetMode="External"/><Relationship Id="rId37" Type="http://schemas.openxmlformats.org/officeDocument/2006/relationships/hyperlink" Target="https://doi.org/10.1007/s40670-014-0092-4" TargetMode="External"/><Relationship Id="rId40" Type="http://schemas.openxmlformats.org/officeDocument/2006/relationships/hyperlink" Target="https://doi.org/10.1080/10872981.2017.1395679" TargetMode="External"/><Relationship Id="rId5" Type="http://schemas.openxmlformats.org/officeDocument/2006/relationships/hyperlink" Target="https://doi.org/10.1371/journal.pone.0210606" TargetMode="External"/><Relationship Id="rId15" Type="http://schemas.openxmlformats.org/officeDocument/2006/relationships/hyperlink" Target="https://doi.org/10.1016/j.nepr.2021.103046" TargetMode="External"/><Relationship Id="rId23" Type="http://schemas.openxmlformats.org/officeDocument/2006/relationships/hyperlink" Target="https://doi.org/10.1186/s12909-019-1714-8" TargetMode="External"/><Relationship Id="rId28" Type="http://schemas.openxmlformats.org/officeDocument/2006/relationships/hyperlink" Target="https://doi.org/10.21203/rs.3.rs-18325/v1" TargetMode="External"/><Relationship Id="rId36" Type="http://schemas.openxmlformats.org/officeDocument/2006/relationships/hyperlink" Target="https://doi.org/10.1017/dmp.2020.162" TargetMode="External"/><Relationship Id="rId10" Type="http://schemas.openxmlformats.org/officeDocument/2006/relationships/hyperlink" Target="https://doi.org/10.3352/jeehp.2016.13.11" TargetMode="External"/><Relationship Id="rId19" Type="http://schemas.openxmlformats.org/officeDocument/2006/relationships/hyperlink" Target="https://doi.org/10.5811/westjem.2015.9.27256" TargetMode="External"/><Relationship Id="rId31" Type="http://schemas.openxmlformats.org/officeDocument/2006/relationships/hyperlink" Target="https://doi.org/10.7899/JCE-14-28" TargetMode="External"/><Relationship Id="rId4" Type="http://schemas.openxmlformats.org/officeDocument/2006/relationships/hyperlink" Target="https://doi.org/10.4103/jehp.jehp_163_19" TargetMode="External"/><Relationship Id="rId9" Type="http://schemas.openxmlformats.org/officeDocument/2006/relationships/hyperlink" Target="https://doi.org/10.1016/j.nedt.2018.09.027" TargetMode="External"/><Relationship Id="rId14" Type="http://schemas.openxmlformats.org/officeDocument/2006/relationships/hyperlink" Target="https://doi.org/10.3205/zma001108" TargetMode="External"/><Relationship Id="rId22" Type="http://schemas.openxmlformats.org/officeDocument/2006/relationships/hyperlink" Target="https://doi.org/10.1002/ase.1635" TargetMode="External"/><Relationship Id="rId27" Type="http://schemas.openxmlformats.org/officeDocument/2006/relationships/hyperlink" Target="https://doi.org/10.1111/eje.12467" TargetMode="External"/><Relationship Id="rId30" Type="http://schemas.openxmlformats.org/officeDocument/2006/relationships/hyperlink" Target="https://doi.org/10.1186/s12909-017-0881-8" TargetMode="External"/><Relationship Id="rId35" Type="http://schemas.openxmlformats.org/officeDocument/2006/relationships/hyperlink" Target="https://doi.org/10.1016/j.cptl.2013.07.004" TargetMode="External"/><Relationship Id="rId8" Type="http://schemas.openxmlformats.org/officeDocument/2006/relationships/hyperlink" Target="https://doi.org/10.5688/ajpe80231" TargetMode="External"/><Relationship Id="rId3" Type="http://schemas.openxmlformats.org/officeDocument/2006/relationships/hyperlink" Target="https://doi.org/10.1016/j.jsurg.2017.07.007" TargetMode="External"/><Relationship Id="rId12" Type="http://schemas.openxmlformats.org/officeDocument/2006/relationships/hyperlink" Target="https://doi.org/10.1097/acm.0000000000001085" TargetMode="External"/><Relationship Id="rId17" Type="http://schemas.openxmlformats.org/officeDocument/2006/relationships/hyperlink" Target="https://doi.org/10.1371/journal.pone.0174829" TargetMode="External"/><Relationship Id="rId25" Type="http://schemas.openxmlformats.org/officeDocument/2006/relationships/hyperlink" Target="https://doi.org/10.1186/s12909-020-1946-7" TargetMode="External"/><Relationship Id="rId33" Type="http://schemas.openxmlformats.org/officeDocument/2006/relationships/hyperlink" Target="https://doi.org/10.1016/j.cptl.2016.06.008" TargetMode="External"/><Relationship Id="rId38" Type="http://schemas.openxmlformats.org/officeDocument/2006/relationships/hyperlink" Target="https://doi.org/10.1016/j.cptl.2014.02.01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doi.org/10.1177/215416471004500112" TargetMode="External"/><Relationship Id="rId18" Type="http://schemas.openxmlformats.org/officeDocument/2006/relationships/hyperlink" Target="https://doi.org/10.1023/a:1022183430622" TargetMode="External"/><Relationship Id="rId26" Type="http://schemas.openxmlformats.org/officeDocument/2006/relationships/hyperlink" Target="https://doi.org/10.1080/02796015.1998.12085916" TargetMode="External"/><Relationship Id="rId39" Type="http://schemas.openxmlformats.org/officeDocument/2006/relationships/hyperlink" Target="https://doi.org/10.1177/074193259701800206" TargetMode="External"/><Relationship Id="rId21" Type="http://schemas.openxmlformats.org/officeDocument/2006/relationships/hyperlink" Target="https://doi.org/10.1177/0145445503259387" TargetMode="External"/><Relationship Id="rId34" Type="http://schemas.openxmlformats.org/officeDocument/2006/relationships/hyperlink" Target="https://doi.org/10.1037/h0100359" TargetMode="External"/><Relationship Id="rId42" Type="http://schemas.openxmlformats.org/officeDocument/2006/relationships/hyperlink" Target="https://doi.org/10.1007/s10864-013-9180-6" TargetMode="External"/><Relationship Id="rId47" Type="http://schemas.openxmlformats.org/officeDocument/2006/relationships/hyperlink" Target="https://doi.org/10.1177/093889828800302a04" TargetMode="External"/><Relationship Id="rId50" Type="http://schemas.openxmlformats.org/officeDocument/2006/relationships/hyperlink" Target="https://doi.org/10.1177/109830070000200405" TargetMode="External"/><Relationship Id="rId55" Type="http://schemas.openxmlformats.org/officeDocument/2006/relationships/hyperlink" Target="https://doi.org/10.1023/a:1016695806663" TargetMode="External"/><Relationship Id="rId7" Type="http://schemas.openxmlformats.org/officeDocument/2006/relationships/hyperlink" Target="https://doi.org/10.1177/0162643416650024" TargetMode="External"/><Relationship Id="rId2" Type="http://schemas.openxmlformats.org/officeDocument/2006/relationships/hyperlink" Target="https://doi.org/10.1177/10983007030050040701" TargetMode="External"/><Relationship Id="rId16" Type="http://schemas.openxmlformats.org/officeDocument/2006/relationships/hyperlink" Target="https://doi.org/10.1177/215416471204700204" TargetMode="External"/><Relationship Id="rId29" Type="http://schemas.openxmlformats.org/officeDocument/2006/relationships/hyperlink" Target="https://doi.org/10.1007/s10864-019-09346-5" TargetMode="External"/><Relationship Id="rId11" Type="http://schemas.openxmlformats.org/officeDocument/2006/relationships/hyperlink" Target="https://doi.org/10.1177/019874290302900102" TargetMode="External"/><Relationship Id="rId24" Type="http://schemas.openxmlformats.org/officeDocument/2006/relationships/hyperlink" Target="https://doi.org/10.2307/1511182" TargetMode="External"/><Relationship Id="rId32" Type="http://schemas.openxmlformats.org/officeDocument/2006/relationships/hyperlink" Target="https://doi.org/10.1007/s10864-019-09352-7" TargetMode="External"/><Relationship Id="rId37" Type="http://schemas.openxmlformats.org/officeDocument/2006/relationships/hyperlink" Target="https://doi.org/10.1177/019874290603100204" TargetMode="External"/><Relationship Id="rId40" Type="http://schemas.openxmlformats.org/officeDocument/2006/relationships/hyperlink" Target="https://doi.org/10.1080/00220671.1995.9941315" TargetMode="External"/><Relationship Id="rId45" Type="http://schemas.openxmlformats.org/officeDocument/2006/relationships/hyperlink" Target="https://doi.org/10.1007/s10864-018-09317-2" TargetMode="External"/><Relationship Id="rId53" Type="http://schemas.openxmlformats.org/officeDocument/2006/relationships/hyperlink" Target="https://doi.org/10.1007/s10864-016-9253-4" TargetMode="External"/><Relationship Id="rId58" Type="http://schemas.openxmlformats.org/officeDocument/2006/relationships/hyperlink" Target="https://doi.org/10.1080/1045988x.2020.1811625" TargetMode="External"/><Relationship Id="rId5" Type="http://schemas.openxmlformats.org/officeDocument/2006/relationships/hyperlink" Target="https://doi.org/10.1177/875687051303200205" TargetMode="External"/><Relationship Id="rId19" Type="http://schemas.openxmlformats.org/officeDocument/2006/relationships/hyperlink" Target="https://doi.org/10.1002/(SICI)1520-6807(200003)37:2%3C135::AID-PITS5%3E3.0.CO;2-U" TargetMode="External"/><Relationship Id="rId4" Type="http://schemas.openxmlformats.org/officeDocument/2006/relationships/hyperlink" Target="https://doi.org/10.1177/183693911003500406" TargetMode="External"/><Relationship Id="rId9" Type="http://schemas.openxmlformats.org/officeDocument/2006/relationships/hyperlink" Target="https://doi.org/10.1177/019874291203800102" TargetMode="External"/><Relationship Id="rId14" Type="http://schemas.openxmlformats.org/officeDocument/2006/relationships/hyperlink" Target="https://doi.org/10.1177/1098300715596134" TargetMode="External"/><Relationship Id="rId22" Type="http://schemas.openxmlformats.org/officeDocument/2006/relationships/hyperlink" Target="https://doi.org/10.1080/02796015.2007.12087923" TargetMode="External"/><Relationship Id="rId27" Type="http://schemas.openxmlformats.org/officeDocument/2006/relationships/hyperlink" Target="https://doi.org/10.1080/0144341890090305" TargetMode="External"/><Relationship Id="rId30" Type="http://schemas.openxmlformats.org/officeDocument/2006/relationships/hyperlink" Target="https://doi.org/10.1002/bin.1379" TargetMode="External"/><Relationship Id="rId35" Type="http://schemas.openxmlformats.org/officeDocument/2006/relationships/hyperlink" Target="https://doi.org/10.1177/019874290002500308" TargetMode="External"/><Relationship Id="rId43" Type="http://schemas.openxmlformats.org/officeDocument/2006/relationships/hyperlink" Target="https://doi.org/10.1080/01443410120065469" TargetMode="External"/><Relationship Id="rId48" Type="http://schemas.openxmlformats.org/officeDocument/2006/relationships/hyperlink" Target="https://doi.org/10.1080/10400435.2015.1059384" TargetMode="External"/><Relationship Id="rId56" Type="http://schemas.openxmlformats.org/officeDocument/2006/relationships/hyperlink" Target="https://doi.org/10.1177/014544502236653" TargetMode="External"/><Relationship Id="rId8" Type="http://schemas.openxmlformats.org/officeDocument/2006/relationships/hyperlink" Target="https://doi.org/10.1177/0162643415618911" TargetMode="External"/><Relationship Id="rId51" Type="http://schemas.openxmlformats.org/officeDocument/2006/relationships/hyperlink" Target="https://doi.org/10.1177/10983007060080040301" TargetMode="External"/><Relationship Id="rId3" Type="http://schemas.openxmlformats.org/officeDocument/2006/relationships/hyperlink" Target="https://doi.org/10.1353/etc.2019.0011" TargetMode="External"/><Relationship Id="rId12" Type="http://schemas.openxmlformats.org/officeDocument/2006/relationships/hyperlink" Target="https://doi.org/10.1353/etc.2007.0022" TargetMode="External"/><Relationship Id="rId17" Type="http://schemas.openxmlformats.org/officeDocument/2006/relationships/hyperlink" Target="https://doi.org/10.1007/s10803-014-2272-x" TargetMode="External"/><Relationship Id="rId25" Type="http://schemas.openxmlformats.org/officeDocument/2006/relationships/hyperlink" Target="https://doi.org/10.1177/00224669050390030201" TargetMode="External"/><Relationship Id="rId33" Type="http://schemas.openxmlformats.org/officeDocument/2006/relationships/hyperlink" Target="https://doi.org/10.25417/uic.12481187" TargetMode="External"/><Relationship Id="rId38" Type="http://schemas.openxmlformats.org/officeDocument/2006/relationships/hyperlink" Target="https://doi.org/10.1007/bf00961546" TargetMode="External"/><Relationship Id="rId46" Type="http://schemas.openxmlformats.org/officeDocument/2006/relationships/hyperlink" Target="https://doi.org/10.1007/s10864-007-9049-7" TargetMode="External"/><Relationship Id="rId59" Type="http://schemas.openxmlformats.org/officeDocument/2006/relationships/hyperlink" Target="https://doi.org/10.1177/1049731513509691" TargetMode="External"/><Relationship Id="rId20" Type="http://schemas.openxmlformats.org/officeDocument/2006/relationships/hyperlink" Target="https://doi.org/10.1177/10634266211051404" TargetMode="External"/><Relationship Id="rId41" Type="http://schemas.openxmlformats.org/officeDocument/2006/relationships/hyperlink" Target="https://doi.org/10.1037/h0100349" TargetMode="External"/><Relationship Id="rId54" Type="http://schemas.openxmlformats.org/officeDocument/2006/relationships/hyperlink" Target="https://doi.org/10.1007/s10864-014-9204-x" TargetMode="External"/><Relationship Id="rId1" Type="http://schemas.openxmlformats.org/officeDocument/2006/relationships/hyperlink" Target="http://dx.doi.org/10.34917/2269015" TargetMode="External"/><Relationship Id="rId6" Type="http://schemas.openxmlformats.org/officeDocument/2006/relationships/hyperlink" Target="https://doi.org/10.1002/pits.21679" TargetMode="External"/><Relationship Id="rId15" Type="http://schemas.openxmlformats.org/officeDocument/2006/relationships/hyperlink" Target="https://doi.org/10.1080/09362835.2020.1772064?urlappend=%3Futm_source%3Dresearchgate.net%26utm_medium%3Darticle" TargetMode="External"/><Relationship Id="rId23" Type="http://schemas.openxmlformats.org/officeDocument/2006/relationships/hyperlink" Target="https://doi.org/10.1177/1063426613476345" TargetMode="External"/><Relationship Id="rId28" Type="http://schemas.openxmlformats.org/officeDocument/2006/relationships/hyperlink" Target="https://doi.org/10.1177/004005990003200507" TargetMode="External"/><Relationship Id="rId36" Type="http://schemas.openxmlformats.org/officeDocument/2006/relationships/hyperlink" Target="https://doi.org/10.1901/jaba.1989.22-315" TargetMode="External"/><Relationship Id="rId49" Type="http://schemas.openxmlformats.org/officeDocument/2006/relationships/hyperlink" Target="https://doi.org/10.1177/1098300718773462" TargetMode="External"/><Relationship Id="rId57" Type="http://schemas.openxmlformats.org/officeDocument/2006/relationships/hyperlink" Target="https://doi.org/10.1023/a:1022891725732" TargetMode="External"/><Relationship Id="rId10" Type="http://schemas.openxmlformats.org/officeDocument/2006/relationships/hyperlink" Target="https://doi.org/10.1002/pits.22109" TargetMode="External"/><Relationship Id="rId31" Type="http://schemas.openxmlformats.org/officeDocument/2006/relationships/hyperlink" Target="https://doi.org/10.1037/spq0000162" TargetMode="External"/><Relationship Id="rId44" Type="http://schemas.openxmlformats.org/officeDocument/2006/relationships/hyperlink" Target="https://doi.org/10.1007/s10864-009-9092-7" TargetMode="External"/><Relationship Id="rId52" Type="http://schemas.openxmlformats.org/officeDocument/2006/relationships/hyperlink" Target="https://doi.org/10.1177/016264341302800201" TargetMode="External"/><Relationship Id="rId60" Type="http://schemas.openxmlformats.org/officeDocument/2006/relationships/hyperlink" Target="https://doi.org/10.1007/s10802-010-9398-x"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doi.org/10.1093/ajcn/68.6.1254" TargetMode="External"/><Relationship Id="rId18" Type="http://schemas.openxmlformats.org/officeDocument/2006/relationships/hyperlink" Target="https://doi.org/10.1186/s12916-015-0315-6" TargetMode="External"/><Relationship Id="rId26" Type="http://schemas.openxmlformats.org/officeDocument/2006/relationships/hyperlink" Target="https://doi.org/10.1093/tropej/fmq019" TargetMode="External"/><Relationship Id="rId39" Type="http://schemas.openxmlformats.org/officeDocument/2006/relationships/hyperlink" Target="https://doi.org/10.1007/s13312-013-0097-x" TargetMode="External"/><Relationship Id="rId21" Type="http://schemas.openxmlformats.org/officeDocument/2006/relationships/hyperlink" Target="https://doi.org/10.1136/adc.2003.034306" TargetMode="External"/><Relationship Id="rId34" Type="http://schemas.openxmlformats.org/officeDocument/2006/relationships/hyperlink" Target="https://doi.org/10.6133/apjcn.2015.24.1.15" TargetMode="External"/><Relationship Id="rId42" Type="http://schemas.openxmlformats.org/officeDocument/2006/relationships/hyperlink" Target="https://doi.org/10.1186/s12887-017-0860-6" TargetMode="External"/><Relationship Id="rId7" Type="http://schemas.openxmlformats.org/officeDocument/2006/relationships/hyperlink" Target="https://doi.org/10.1016/s2214-109x(16)30096-1" TargetMode="External"/><Relationship Id="rId2" Type="http://schemas.openxmlformats.org/officeDocument/2006/relationships/hyperlink" Target="https://doi.org/10.1016/s0140-6736(94)92885-1" TargetMode="External"/><Relationship Id="rId16" Type="http://schemas.openxmlformats.org/officeDocument/2006/relationships/hyperlink" Target="https://doi.org/10.1111/mcn.12054" TargetMode="External"/><Relationship Id="rId20" Type="http://schemas.openxmlformats.org/officeDocument/2006/relationships/hyperlink" Target="https://doi.org/10.3945/ajcn.111.022525" TargetMode="External"/><Relationship Id="rId29" Type="http://schemas.openxmlformats.org/officeDocument/2006/relationships/hyperlink" Target="https://doi.org/10.1111/j.1740-8709.2008.00162.x" TargetMode="External"/><Relationship Id="rId41" Type="http://schemas.openxmlformats.org/officeDocument/2006/relationships/hyperlink" Target="https://doi.org/10.1097/mpg.0000000000000639" TargetMode="External"/><Relationship Id="rId1" Type="http://schemas.openxmlformats.org/officeDocument/2006/relationships/hyperlink" Target="https://doi.org/10.3945/ajcn.113.069807" TargetMode="External"/><Relationship Id="rId6" Type="http://schemas.openxmlformats.org/officeDocument/2006/relationships/hyperlink" Target="https://doi.org/10.3945/ajcn.117.156653" TargetMode="External"/><Relationship Id="rId11" Type="http://schemas.openxmlformats.org/officeDocument/2006/relationships/hyperlink" Target="https://doi.org/10.1093/ajcn/81.4.864" TargetMode="External"/><Relationship Id="rId24" Type="http://schemas.openxmlformats.org/officeDocument/2006/relationships/hyperlink" Target="https://doi.org/10.1017/s1368980015001238" TargetMode="External"/><Relationship Id="rId32" Type="http://schemas.openxmlformats.org/officeDocument/2006/relationships/hyperlink" Target="https://doi.org/10.1371/journal.pone.0201686" TargetMode="External"/><Relationship Id="rId37" Type="http://schemas.openxmlformats.org/officeDocument/2006/relationships/hyperlink" Target="https://doi.org/10.1007/s13312-010-0100-8" TargetMode="External"/><Relationship Id="rId40" Type="http://schemas.openxmlformats.org/officeDocument/2006/relationships/hyperlink" Target="https://doi.org/10.3945/jn.110.122499" TargetMode="External"/><Relationship Id="rId5" Type="http://schemas.openxmlformats.org/officeDocument/2006/relationships/hyperlink" Target="https://doi.org/10.1111/mcn.12112" TargetMode="External"/><Relationship Id="rId15" Type="http://schemas.openxmlformats.org/officeDocument/2006/relationships/hyperlink" Target="https://doi.org/10.1097/mpg.0000000000000741" TargetMode="External"/><Relationship Id="rId23" Type="http://schemas.openxmlformats.org/officeDocument/2006/relationships/hyperlink" Target="https://doi.org/10.3945/jn.115.214957" TargetMode="External"/><Relationship Id="rId28" Type="http://schemas.openxmlformats.org/officeDocument/2006/relationships/hyperlink" Target="https://doi.org/10.3945/jn.110.123828" TargetMode="External"/><Relationship Id="rId36" Type="http://schemas.openxmlformats.org/officeDocument/2006/relationships/hyperlink" Target="https://doi.org/10.3390/nu10070909" TargetMode="External"/><Relationship Id="rId10" Type="http://schemas.openxmlformats.org/officeDocument/2006/relationships/hyperlink" Target="https://doi.org/10.1093/tropej/40.4.225" TargetMode="External"/><Relationship Id="rId19" Type="http://schemas.openxmlformats.org/officeDocument/2006/relationships/hyperlink" Target="https://doi.org/10.3945/ajcn.111.029744" TargetMode="External"/><Relationship Id="rId31" Type="http://schemas.openxmlformats.org/officeDocument/2006/relationships/hyperlink" Target="https://doi.org/10.1097/00005176-200408000-00003" TargetMode="External"/><Relationship Id="rId4" Type="http://schemas.openxmlformats.org/officeDocument/2006/relationships/hyperlink" Target="https://doi.org/10.3945/ajcn.115.119537" TargetMode="External"/><Relationship Id="rId9" Type="http://schemas.openxmlformats.org/officeDocument/2006/relationships/hyperlink" Target="https://doi.org/10.3945/jn.112.168047" TargetMode="External"/><Relationship Id="rId14" Type="http://schemas.openxmlformats.org/officeDocument/2006/relationships/hyperlink" Target="https://doi.org/10.1371/journal.pmed.1002387" TargetMode="External"/><Relationship Id="rId22" Type="http://schemas.openxmlformats.org/officeDocument/2006/relationships/hyperlink" Target="https://doi.org/10.3945/jn.108.104018" TargetMode="External"/><Relationship Id="rId27" Type="http://schemas.openxmlformats.org/officeDocument/2006/relationships/hyperlink" Target="https://doi.org/10.3945/ajcn.113.072538" TargetMode="External"/><Relationship Id="rId30" Type="http://schemas.openxmlformats.org/officeDocument/2006/relationships/hyperlink" Target="https://doi.org/10.1093/heapol/czs070" TargetMode="External"/><Relationship Id="rId35" Type="http://schemas.openxmlformats.org/officeDocument/2006/relationships/hyperlink" Target="https://doi.org/10.1093/tropej/fmt039" TargetMode="External"/><Relationship Id="rId43" Type="http://schemas.openxmlformats.org/officeDocument/2006/relationships/hyperlink" Target="https://doi.org/10.1093/heapol/czr017" TargetMode="External"/><Relationship Id="rId8" Type="http://schemas.openxmlformats.org/officeDocument/2006/relationships/hyperlink" Target="https://doi.org/10.1136/bmjgh-2016-000144" TargetMode="External"/><Relationship Id="rId3" Type="http://schemas.openxmlformats.org/officeDocument/2006/relationships/hyperlink" Target="https://doi.org/10.1093/heapol/12.2.115" TargetMode="External"/><Relationship Id="rId12" Type="http://schemas.openxmlformats.org/officeDocument/2006/relationships/hyperlink" Target="https://doi.org/10.1093/ajcn/78.2.302" TargetMode="External"/><Relationship Id="rId17" Type="http://schemas.openxmlformats.org/officeDocument/2006/relationships/hyperlink" Target="https://doi.org/10.1056/nejmoa1507024" TargetMode="External"/><Relationship Id="rId25" Type="http://schemas.openxmlformats.org/officeDocument/2006/relationships/hyperlink" Target="https://doi.org/10.18203/2349-3291.ijcp20172692" TargetMode="External"/><Relationship Id="rId33" Type="http://schemas.openxmlformats.org/officeDocument/2006/relationships/hyperlink" Target="https://doi.org/10.1371/journal.pone.0033112" TargetMode="External"/><Relationship Id="rId38" Type="http://schemas.openxmlformats.org/officeDocument/2006/relationships/hyperlink" Target="https://doi.org/10.3945/ajcn.115.124636"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psycnet.apa.org/doi/10.1080/1068316X.2018.1503664" TargetMode="External"/><Relationship Id="rId18" Type="http://schemas.openxmlformats.org/officeDocument/2006/relationships/hyperlink" Target="https://doi.org/10.1080/09546553.2017.1297708" TargetMode="External"/><Relationship Id="rId26" Type="http://schemas.openxmlformats.org/officeDocument/2006/relationships/hyperlink" Target="https://doi.org/10.5038/1944-0472.12.4.1736" TargetMode="External"/><Relationship Id="rId39" Type="http://schemas.openxmlformats.org/officeDocument/2006/relationships/hyperlink" Target="https://doi.org/10.13140/RG.2.2.12940.21124" TargetMode="External"/><Relationship Id="rId21" Type="http://schemas.openxmlformats.org/officeDocument/2006/relationships/hyperlink" Target="https://doi.org/10.1111/1556-4029.12312" TargetMode="External"/><Relationship Id="rId34" Type="http://schemas.openxmlformats.org/officeDocument/2006/relationships/hyperlink" Target="https://doi.org/10.1080/09546550903409312" TargetMode="External"/><Relationship Id="rId42" Type="http://schemas.openxmlformats.org/officeDocument/2006/relationships/hyperlink" Target="https://doi.org/10.9770/jssi.2018.8.1(1)" TargetMode="External"/><Relationship Id="rId7" Type="http://schemas.openxmlformats.org/officeDocument/2006/relationships/hyperlink" Target="https://psycnet.apa.org/doi/10.1177/1088767918770704" TargetMode="External"/><Relationship Id="rId2" Type="http://schemas.openxmlformats.org/officeDocument/2006/relationships/hyperlink" Target="https://doi.org/10.3389/fpsyt.2021.774063" TargetMode="External"/><Relationship Id="rId16" Type="http://schemas.openxmlformats.org/officeDocument/2006/relationships/hyperlink" Target="https://doi.org/10.1080/19434472.2019.1591481" TargetMode="External"/><Relationship Id="rId20" Type="http://schemas.openxmlformats.org/officeDocument/2006/relationships/hyperlink" Target="https://doi.org/10.1080/09546553.2019.1668781" TargetMode="External"/><Relationship Id="rId29" Type="http://schemas.openxmlformats.org/officeDocument/2006/relationships/hyperlink" Target="https://doi.org/10.1111/1745-9125.12169" TargetMode="External"/><Relationship Id="rId41" Type="http://schemas.openxmlformats.org/officeDocument/2006/relationships/hyperlink" Target="https://doi.org/10.1177/17488958211049019" TargetMode="External"/><Relationship Id="rId1" Type="http://schemas.openxmlformats.org/officeDocument/2006/relationships/hyperlink" Target="https://doi.org/10.3233/dev-180255" TargetMode="External"/><Relationship Id="rId6" Type="http://schemas.openxmlformats.org/officeDocument/2006/relationships/hyperlink" Target="https://doi.org/10.1080/1057610X.2015.1008341" TargetMode="External"/><Relationship Id="rId11" Type="http://schemas.openxmlformats.org/officeDocument/2006/relationships/hyperlink" Target="https://doi.org/10.1111/1745-9133.12466" TargetMode="External"/><Relationship Id="rId24" Type="http://schemas.openxmlformats.org/officeDocument/2006/relationships/hyperlink" Target="https://doi.org/10.1111/1745-9133.12009" TargetMode="External"/><Relationship Id="rId32" Type="http://schemas.openxmlformats.org/officeDocument/2006/relationships/hyperlink" Target="https://doi.org/10.1177/002580248602600304" TargetMode="External"/><Relationship Id="rId37" Type="http://schemas.openxmlformats.org/officeDocument/2006/relationships/hyperlink" Target="https://doi.org/10.1080/09546553.2019.1663828" TargetMode="External"/><Relationship Id="rId40" Type="http://schemas.openxmlformats.org/officeDocument/2006/relationships/hyperlink" Target="https://psycnet.apa.org/doi/10.1177/0022427815627312" TargetMode="External"/><Relationship Id="rId5" Type="http://schemas.openxmlformats.org/officeDocument/2006/relationships/hyperlink" Target="https://doi.org/10.1080/19434472.2021.1874041" TargetMode="External"/><Relationship Id="rId15" Type="http://schemas.openxmlformats.org/officeDocument/2006/relationships/hyperlink" Target="https://doi.org/10.1177/13634615211023669" TargetMode="External"/><Relationship Id="rId23" Type="http://schemas.openxmlformats.org/officeDocument/2006/relationships/hyperlink" Target="https://doi.org/10.1007/BF02692396" TargetMode="External"/><Relationship Id="rId28" Type="http://schemas.openxmlformats.org/officeDocument/2006/relationships/hyperlink" Target="https://psycnet.apa.org/doi/10.1037/tam0000165" TargetMode="External"/><Relationship Id="rId36" Type="http://schemas.openxmlformats.org/officeDocument/2006/relationships/hyperlink" Target="https://doi.org/10.13016/5mot-h708" TargetMode="External"/><Relationship Id="rId10" Type="http://schemas.openxmlformats.org/officeDocument/2006/relationships/hyperlink" Target="https://doi.org/10.1080/19434472.2020.1819372" TargetMode="External"/><Relationship Id="rId19" Type="http://schemas.openxmlformats.org/officeDocument/2006/relationships/hyperlink" Target="https://doi.org/10.1080/09546553.2016.1277669" TargetMode="External"/><Relationship Id="rId31" Type="http://schemas.openxmlformats.org/officeDocument/2006/relationships/hyperlink" Target="https://doi.org/10.1177/1088767917736797" TargetMode="External"/><Relationship Id="rId4" Type="http://schemas.openxmlformats.org/officeDocument/2006/relationships/hyperlink" Target="https://doi.org/10.1177/0002764219831746" TargetMode="External"/><Relationship Id="rId9" Type="http://schemas.openxmlformats.org/officeDocument/2006/relationships/hyperlink" Target="https://doi.org/10.1080/09546553.2014.975646" TargetMode="External"/><Relationship Id="rId14" Type="http://schemas.openxmlformats.org/officeDocument/2006/relationships/hyperlink" Target="https://doi.org/10.1007/s10940-019-09420-1" TargetMode="External"/><Relationship Id="rId22" Type="http://schemas.openxmlformats.org/officeDocument/2006/relationships/hyperlink" Target="https://doi.org/10.1111/1556-4029.14793" TargetMode="External"/><Relationship Id="rId27" Type="http://schemas.openxmlformats.org/officeDocument/2006/relationships/hyperlink" Target="https://doi.org/10.1080/19434472.2021.2013292" TargetMode="External"/><Relationship Id="rId30" Type="http://schemas.openxmlformats.org/officeDocument/2006/relationships/hyperlink" Target="https://psycnet.apa.org/doi/10.1177/1088767912462033" TargetMode="External"/><Relationship Id="rId35" Type="http://schemas.openxmlformats.org/officeDocument/2006/relationships/hyperlink" Target="https://doi.org/10.1037/tam0000119?urlappend=%3Futm_source%3Dresearchgate.net%26utm_medium%3Darticle" TargetMode="External"/><Relationship Id="rId8" Type="http://schemas.openxmlformats.org/officeDocument/2006/relationships/hyperlink" Target="https://doi.org/10.1111/1556-4029.13985" TargetMode="External"/><Relationship Id="rId3" Type="http://schemas.openxmlformats.org/officeDocument/2006/relationships/hyperlink" Target="https://psycnet.apa.org/doi/10.1080/1057610X.2012.675550" TargetMode="External"/><Relationship Id="rId12" Type="http://schemas.openxmlformats.org/officeDocument/2006/relationships/hyperlink" Target="https://doi.org/10.1037/lhb0000102" TargetMode="External"/><Relationship Id="rId17" Type="http://schemas.openxmlformats.org/officeDocument/2006/relationships/hyperlink" Target="https://doi.org/10.3389/fpsyt.2022.801751" TargetMode="External"/><Relationship Id="rId25" Type="http://schemas.openxmlformats.org/officeDocument/2006/relationships/hyperlink" Target="http://doi.org/10.7312/hamm18174" TargetMode="External"/><Relationship Id="rId33" Type="http://schemas.openxmlformats.org/officeDocument/2006/relationships/hyperlink" Target="https://doi.org/10.1080/09546553.2020.1821668" TargetMode="External"/><Relationship Id="rId38" Type="http://schemas.openxmlformats.org/officeDocument/2006/relationships/hyperlink" Target="https://doi.org/10.1177/0002764215588817"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doi.org/10.1016/j.pedobi.2005.12.003" TargetMode="External"/><Relationship Id="rId18" Type="http://schemas.openxmlformats.org/officeDocument/2006/relationships/hyperlink" Target="https://doi.org/10.1016/j.foreco.2016.01.025" TargetMode="External"/><Relationship Id="rId26" Type="http://schemas.openxmlformats.org/officeDocument/2006/relationships/hyperlink" Target="https://doi.org/10.4141/S01-017" TargetMode="External"/><Relationship Id="rId39" Type="http://schemas.openxmlformats.org/officeDocument/2006/relationships/hyperlink" Target="https://doi.org/10.1016/j.foreco.2013.11.028" TargetMode="External"/><Relationship Id="rId21" Type="http://schemas.openxmlformats.org/officeDocument/2006/relationships/hyperlink" Target="https://doi.org/10.1139/x05-169" TargetMode="External"/><Relationship Id="rId34" Type="http://schemas.openxmlformats.org/officeDocument/2006/relationships/hyperlink" Target="https://doi.org/10.2307/1936676" TargetMode="External"/><Relationship Id="rId42" Type="http://schemas.openxmlformats.org/officeDocument/2006/relationships/hyperlink" Target="https://doi.org/10.1111/j.1744-7917.2006.00075.x" TargetMode="External"/><Relationship Id="rId7" Type="http://schemas.openxmlformats.org/officeDocument/2006/relationships/hyperlink" Target="https://doi.org/10.1016/j.foreco.2009.06.033" TargetMode="External"/><Relationship Id="rId2" Type="http://schemas.openxmlformats.org/officeDocument/2006/relationships/hyperlink" Target="https://doi.org/10.1016/S1002-0160(15)60099-6" TargetMode="External"/><Relationship Id="rId16" Type="http://schemas.openxmlformats.org/officeDocument/2006/relationships/hyperlink" Target="https://doi.org/10.1080/02827581.2011.560183" TargetMode="External"/><Relationship Id="rId20" Type="http://schemas.openxmlformats.org/officeDocument/2006/relationships/hyperlink" Target="https://doi.org/10.1016/j.foreco.2018.12.047" TargetMode="External"/><Relationship Id="rId29" Type="http://schemas.openxmlformats.org/officeDocument/2006/relationships/hyperlink" Target="https://ui.adsabs.harvard.edu/link_gateway/2013BiCon..22.1513P/doi:10.1007/s10531-013-0489-1" TargetMode="External"/><Relationship Id="rId41" Type="http://schemas.openxmlformats.org/officeDocument/2006/relationships/hyperlink" Target="https://doi.org/10.1111/1365-2664.13687" TargetMode="External"/><Relationship Id="rId1" Type="http://schemas.openxmlformats.org/officeDocument/2006/relationships/hyperlink" Target="https://doi.org/10.1139/x03-267" TargetMode="External"/><Relationship Id="rId6" Type="http://schemas.openxmlformats.org/officeDocument/2006/relationships/hyperlink" Target="https://doi.org/10.1016/j.biocon.2003.08.015" TargetMode="External"/><Relationship Id="rId11" Type="http://schemas.openxmlformats.org/officeDocument/2006/relationships/hyperlink" Target="https://doi.org/10.1016/j.foreco.2007.09.083" TargetMode="External"/><Relationship Id="rId24" Type="http://schemas.openxmlformats.org/officeDocument/2006/relationships/hyperlink" Target="https://doi.org/10.1023/A:1021289509500?urlappend=%3Futm_source%3Dresearchgate.net%26utm_medium%3Darticle" TargetMode="External"/><Relationship Id="rId32" Type="http://schemas.openxmlformats.org/officeDocument/2006/relationships/hyperlink" Target="https://doi.org/10.1016/j.soilbio.2019.02.021" TargetMode="External"/><Relationship Id="rId37" Type="http://schemas.openxmlformats.org/officeDocument/2006/relationships/hyperlink" Target="https://doi.org/10.1016/S0929-1393(02)00003-3" TargetMode="External"/><Relationship Id="rId40" Type="http://schemas.openxmlformats.org/officeDocument/2006/relationships/hyperlink" Target="https://doi.org/10.1007/978-1-4020-5204-0_16?urlappend=%3Futm_source%3Dresearchgate.net%26utm_medium%3Darticle" TargetMode="External"/><Relationship Id="rId5" Type="http://schemas.openxmlformats.org/officeDocument/2006/relationships/hyperlink" Target="https://doi.org/10.1016/j.foreco.2018.11.023" TargetMode="External"/><Relationship Id="rId15" Type="http://schemas.openxmlformats.org/officeDocument/2006/relationships/hyperlink" Target="https://doi.org/10.1016/j.foreco.2015.09.041" TargetMode="External"/><Relationship Id="rId23" Type="http://schemas.openxmlformats.org/officeDocument/2006/relationships/hyperlink" Target="https://doi.org/10.1603/en11298" TargetMode="External"/><Relationship Id="rId28" Type="http://schemas.openxmlformats.org/officeDocument/2006/relationships/hyperlink" Target="https://doi.org/10.1016/j.foreco.2011.10.045" TargetMode="External"/><Relationship Id="rId36" Type="http://schemas.openxmlformats.org/officeDocument/2006/relationships/hyperlink" Target="https://doi.org/10.2307/2403472" TargetMode="External"/><Relationship Id="rId10" Type="http://schemas.openxmlformats.org/officeDocument/2006/relationships/hyperlink" Target="https://doi.org/10.1016/j.soilbio.2015.02.007" TargetMode="External"/><Relationship Id="rId19" Type="http://schemas.openxmlformats.org/officeDocument/2006/relationships/hyperlink" Target="https://doi.org/10.1139/x05-170" TargetMode="External"/><Relationship Id="rId31" Type="http://schemas.openxmlformats.org/officeDocument/2006/relationships/hyperlink" Target="https://doi.org/10.1078/S0031-4056(04)70079-7" TargetMode="External"/><Relationship Id="rId44" Type="http://schemas.openxmlformats.org/officeDocument/2006/relationships/hyperlink" Target="https://doi.org/10.1016/S0038-0717(02)00208-0" TargetMode="External"/><Relationship Id="rId4" Type="http://schemas.openxmlformats.org/officeDocument/2006/relationships/hyperlink" Target="https://doi.org/10.1139/X06-310" TargetMode="External"/><Relationship Id="rId9" Type="http://schemas.openxmlformats.org/officeDocument/2006/relationships/hyperlink" Target="https://doi.org/10.4141/S99-112" TargetMode="External"/><Relationship Id="rId14" Type="http://schemas.openxmlformats.org/officeDocument/2006/relationships/hyperlink" Target="https://doi.org/10.1016/j.foreco.2003.09.002" TargetMode="External"/><Relationship Id="rId22" Type="http://schemas.openxmlformats.org/officeDocument/2006/relationships/hyperlink" Target="https://doi.org/10.1139/x03-284" TargetMode="External"/><Relationship Id="rId27" Type="http://schemas.openxmlformats.org/officeDocument/2006/relationships/hyperlink" Target="https://doi.org/10.60910/54ex-gz7v" TargetMode="External"/><Relationship Id="rId30" Type="http://schemas.openxmlformats.org/officeDocument/2006/relationships/hyperlink" Target="https://doi.org/10.1016/j.biocon.2007.02.011" TargetMode="External"/><Relationship Id="rId35" Type="http://schemas.openxmlformats.org/officeDocument/2006/relationships/hyperlink" Target="https://doi.org/10.1139/x00-148" TargetMode="External"/><Relationship Id="rId43" Type="http://schemas.openxmlformats.org/officeDocument/2006/relationships/hyperlink" Target="https://doi.org/10.1016/j.foreco.2008.01.019" TargetMode="External"/><Relationship Id="rId8" Type="http://schemas.openxmlformats.org/officeDocument/2006/relationships/hyperlink" Target="https://doi.org/10.1038/s41598-018-35159-z" TargetMode="External"/><Relationship Id="rId3" Type="http://schemas.openxmlformats.org/officeDocument/2006/relationships/hyperlink" Target="https://doi.org/10.1007/s00442-003-1310-8" TargetMode="External"/><Relationship Id="rId12" Type="http://schemas.openxmlformats.org/officeDocument/2006/relationships/hyperlink" Target="https://doi.org/10.1016/j.foreco.2004.07.027" TargetMode="External"/><Relationship Id="rId17" Type="http://schemas.openxmlformats.org/officeDocument/2006/relationships/hyperlink" Target="https://doi.org/10.1016/j.foreco.2011.04.002" TargetMode="External"/><Relationship Id="rId25" Type="http://schemas.openxmlformats.org/officeDocument/2006/relationships/hyperlink" Target="https://doi.org/10.1016/j.apsoil.2009.06.002" TargetMode="External"/><Relationship Id="rId33" Type="http://schemas.openxmlformats.org/officeDocument/2006/relationships/hyperlink" Target="https://doi.org/10.1016/j.foreco.2005.03.001" TargetMode="External"/><Relationship Id="rId38" Type="http://schemas.openxmlformats.org/officeDocument/2006/relationships/hyperlink" Target="https://doi.org/10.1016/j.apsoil.2013.11.010"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doi.org/10.1111/grs.12113" TargetMode="External"/><Relationship Id="rId18" Type="http://schemas.openxmlformats.org/officeDocument/2006/relationships/hyperlink" Target="https://doi.org/10.1111/j.1526-100X.2009.00594.x" TargetMode="External"/><Relationship Id="rId26" Type="http://schemas.openxmlformats.org/officeDocument/2006/relationships/hyperlink" Target="https://doi.org/10.1007/s40333-013-0207-6?urlappend=%3Futm_source%3Dresearchgate.net%26utm_medium%3Darticle" TargetMode="External"/><Relationship Id="rId39" Type="http://schemas.openxmlformats.org/officeDocument/2006/relationships/hyperlink" Target="https://doi.org/10.1016/j.scitotenv.2019.133613" TargetMode="External"/><Relationship Id="rId21" Type="http://schemas.openxmlformats.org/officeDocument/2006/relationships/hyperlink" Target="https://doi.org/10.1890/02-5296" TargetMode="External"/><Relationship Id="rId34" Type="http://schemas.openxmlformats.org/officeDocument/2006/relationships/hyperlink" Target="https://doi.org/10.1007/s00572-007-0143-4" TargetMode="External"/><Relationship Id="rId42" Type="http://schemas.openxmlformats.org/officeDocument/2006/relationships/hyperlink" Target="https://doi.org/10.1002/ece3.4958" TargetMode="External"/><Relationship Id="rId7" Type="http://schemas.openxmlformats.org/officeDocument/2006/relationships/hyperlink" Target="https://doi.org/10.1016/j.catena.2014.03.006" TargetMode="External"/><Relationship Id="rId2" Type="http://schemas.openxmlformats.org/officeDocument/2006/relationships/hyperlink" Target="https://doi.org/10.1016/j.biocon.2014.09.011" TargetMode="External"/><Relationship Id="rId16" Type="http://schemas.openxmlformats.org/officeDocument/2006/relationships/hyperlink" Target="https://doi.org/10.1111/rec.12201" TargetMode="External"/><Relationship Id="rId20" Type="http://schemas.openxmlformats.org/officeDocument/2006/relationships/hyperlink" Target="https://doi.org/10.1016/j.jaridenv.2008.04.007" TargetMode="External"/><Relationship Id="rId29" Type="http://schemas.openxmlformats.org/officeDocument/2006/relationships/hyperlink" Target="https://doi.org/10.1016/j.jaridenv.2012.09.008" TargetMode="External"/><Relationship Id="rId41" Type="http://schemas.openxmlformats.org/officeDocument/2006/relationships/hyperlink" Target="https://doi.org/10.1007/s40333-019-0008-7?urlappend=%3Futm_source%3Dresearchgate.net%26utm_medium%3Darticle" TargetMode="External"/><Relationship Id="rId1" Type="http://schemas.openxmlformats.org/officeDocument/2006/relationships/hyperlink" Target="https://doi.org/10.1016/j.catena.2015.04.012" TargetMode="External"/><Relationship Id="rId6" Type="http://schemas.openxmlformats.org/officeDocument/2006/relationships/hyperlink" Target="https://doi.org/10.1016/S0301-4797(03)00107-5" TargetMode="External"/><Relationship Id="rId11" Type="http://schemas.openxmlformats.org/officeDocument/2006/relationships/hyperlink" Target="https://doi.org/10.1111/j.1526-100X.2006.00142.x" TargetMode="External"/><Relationship Id="rId24" Type="http://schemas.openxmlformats.org/officeDocument/2006/relationships/hyperlink" Target="https://doi.org/10.1016/j.ecolind.2016.02.019" TargetMode="External"/><Relationship Id="rId32" Type="http://schemas.openxmlformats.org/officeDocument/2006/relationships/hyperlink" Target="https://doi.org/10.1111/j.1654-109X.2009.01048.x" TargetMode="External"/><Relationship Id="rId37" Type="http://schemas.openxmlformats.org/officeDocument/2006/relationships/hyperlink" Target="https://doi.org/10.1111/rec.12961" TargetMode="External"/><Relationship Id="rId40" Type="http://schemas.openxmlformats.org/officeDocument/2006/relationships/hyperlink" Target="https://doi.org/10.1002/ldr.3387" TargetMode="External"/><Relationship Id="rId5" Type="http://schemas.openxmlformats.org/officeDocument/2006/relationships/hyperlink" Target="https://doi.org/10.1111/j.1061-2971.2004.00009.x" TargetMode="External"/><Relationship Id="rId15" Type="http://schemas.openxmlformats.org/officeDocument/2006/relationships/hyperlink" Target="https://doi.org/10.1016/j.jaridenv.2016.03.008" TargetMode="External"/><Relationship Id="rId23" Type="http://schemas.openxmlformats.org/officeDocument/2006/relationships/hyperlink" Target="https://doi.org/10.1071/RJ17027" TargetMode="External"/><Relationship Id="rId28" Type="http://schemas.openxmlformats.org/officeDocument/2006/relationships/hyperlink" Target="https://doi.org/10.1111/1365-2664.12220" TargetMode="External"/><Relationship Id="rId36" Type="http://schemas.openxmlformats.org/officeDocument/2006/relationships/hyperlink" Target="https://doi.org/10.1046/j.1526-100X.2003.00192.x?urlappend=%3Futm_source%3Dresearchgate.net%26utm_medium%3Darticle" TargetMode="External"/><Relationship Id="rId10" Type="http://schemas.openxmlformats.org/officeDocument/2006/relationships/hyperlink" Target="https://doi.org/10.1016/j.scitotenv.2015.09.108" TargetMode="External"/><Relationship Id="rId19" Type="http://schemas.openxmlformats.org/officeDocument/2006/relationships/hyperlink" Target="https://doi.org/10.1111/j.1526-100X.2009.00595.x" TargetMode="External"/><Relationship Id="rId31" Type="http://schemas.openxmlformats.org/officeDocument/2006/relationships/hyperlink" Target="https://doi.org/10.1007/s12665-010-0577-4?urlappend=%3Futm_source%3Dresearchgate.net%26utm_medium%3Darticle" TargetMode="External"/><Relationship Id="rId4" Type="http://schemas.openxmlformats.org/officeDocument/2006/relationships/hyperlink" Target="https://doi.org/10.1111/j.1526-100X.2005.00037.x" TargetMode="External"/><Relationship Id="rId9" Type="http://schemas.openxmlformats.org/officeDocument/2006/relationships/hyperlink" Target="https://doi.org/10.3368/er.9.2.71" TargetMode="External"/><Relationship Id="rId14" Type="http://schemas.openxmlformats.org/officeDocument/2006/relationships/hyperlink" Target="https://doi.org/10.1016/j.ecoleng.2015.03.012" TargetMode="External"/><Relationship Id="rId22" Type="http://schemas.openxmlformats.org/officeDocument/2006/relationships/hyperlink" Target="https://doi.org/10.1007/s40333-018-0411-5?urlappend=%3Futm_source%3Dresearchgate.net%26utm_medium%3Darticle" TargetMode="External"/><Relationship Id="rId27" Type="http://schemas.openxmlformats.org/officeDocument/2006/relationships/hyperlink" Target="https://doi.org/10.1007/s00267-013-0176-8" TargetMode="External"/><Relationship Id="rId30" Type="http://schemas.openxmlformats.org/officeDocument/2006/relationships/hyperlink" Target="https://doi.org/10.1016/j.baae.2011.11.005" TargetMode="External"/><Relationship Id="rId35" Type="http://schemas.openxmlformats.org/officeDocument/2006/relationships/hyperlink" Target="https://doi.org/10.1046/j.1526-100X.2003.00222.x" TargetMode="External"/><Relationship Id="rId8" Type="http://schemas.openxmlformats.org/officeDocument/2006/relationships/hyperlink" Target="https://doi.org/10.1016/S0929-1393(02)00136-1" TargetMode="External"/><Relationship Id="rId3" Type="http://schemas.openxmlformats.org/officeDocument/2006/relationships/hyperlink" Target="https://doi.org/10.1016/j.ecoleng.2014.09.092" TargetMode="External"/><Relationship Id="rId12" Type="http://schemas.openxmlformats.org/officeDocument/2006/relationships/hyperlink" Target="https://doi.org/10.1016/j.scitotenv.2017.08.018" TargetMode="External"/><Relationship Id="rId17" Type="http://schemas.openxmlformats.org/officeDocument/2006/relationships/hyperlink" Target="https://doi.org/10.1111/j.1526-100X.2011.00808.x" TargetMode="External"/><Relationship Id="rId25" Type="http://schemas.openxmlformats.org/officeDocument/2006/relationships/hyperlink" Target="https://doi.org/10.1016/j.agee.2013.11.026" TargetMode="External"/><Relationship Id="rId33" Type="http://schemas.openxmlformats.org/officeDocument/2006/relationships/hyperlink" Target="https://doi.org/10.1016/j.jaridenv.2008.12.002" TargetMode="External"/><Relationship Id="rId38" Type="http://schemas.openxmlformats.org/officeDocument/2006/relationships/hyperlink" Target="https://doi.org/10.3390/su110719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82"/>
  <sheetViews>
    <sheetView tabSelected="1" workbookViewId="0">
      <pane ySplit="1" topLeftCell="A22" activePane="bottomLeft" state="frozen"/>
      <selection pane="bottomLeft" activeCell="I14" sqref="I14"/>
    </sheetView>
  </sheetViews>
  <sheetFormatPr defaultColWidth="10.90625" defaultRowHeight="12.5"/>
  <cols>
    <col min="5" max="5" width="7.36328125" customWidth="1"/>
    <col min="6" max="6" width="8.36328125" customWidth="1"/>
    <col min="7" max="7" width="19.26953125" customWidth="1"/>
    <col min="9" max="9" width="15.26953125" customWidth="1"/>
    <col min="10" max="10" width="9.26953125" customWidth="1"/>
    <col min="11" max="11" width="9.08984375" customWidth="1"/>
  </cols>
  <sheetData>
    <row r="1" spans="1:25" ht="13" customHeight="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row>
    <row r="2" spans="1:25" ht="15.75" customHeight="1">
      <c r="A2" s="3" t="s">
        <v>12</v>
      </c>
      <c r="B2" s="3" t="s">
        <v>13</v>
      </c>
      <c r="C2" s="3" t="s">
        <v>14</v>
      </c>
      <c r="D2" s="3" t="s">
        <v>15</v>
      </c>
      <c r="E2" s="3">
        <v>2023</v>
      </c>
      <c r="F2" s="4" t="s">
        <v>16</v>
      </c>
      <c r="G2" s="3" t="s">
        <v>17</v>
      </c>
      <c r="H2" s="3" t="s">
        <v>18</v>
      </c>
      <c r="K2" s="3" t="s">
        <v>19</v>
      </c>
      <c r="L2" s="3" t="s">
        <v>20</v>
      </c>
    </row>
    <row r="3" spans="1:25" ht="15.75" customHeight="1">
      <c r="A3" s="3" t="s">
        <v>21</v>
      </c>
      <c r="B3" s="3" t="s">
        <v>13</v>
      </c>
      <c r="C3" s="3" t="s">
        <v>22</v>
      </c>
      <c r="D3" s="3" t="s">
        <v>23</v>
      </c>
      <c r="E3" s="3">
        <v>2024</v>
      </c>
      <c r="F3" s="4" t="s">
        <v>24</v>
      </c>
      <c r="G3" s="3" t="s">
        <v>17</v>
      </c>
      <c r="H3" s="3" t="s">
        <v>18</v>
      </c>
      <c r="K3" s="3" t="s">
        <v>19</v>
      </c>
      <c r="L3" s="3" t="s">
        <v>20</v>
      </c>
    </row>
    <row r="4" spans="1:25" ht="15.75" customHeight="1">
      <c r="A4" s="3" t="s">
        <v>25</v>
      </c>
      <c r="B4" s="3" t="s">
        <v>13</v>
      </c>
      <c r="C4" s="3" t="s">
        <v>26</v>
      </c>
      <c r="D4" s="3" t="s">
        <v>27</v>
      </c>
      <c r="E4" s="3">
        <v>2023</v>
      </c>
      <c r="F4" s="4" t="s">
        <v>28</v>
      </c>
      <c r="G4" s="3" t="s">
        <v>17</v>
      </c>
      <c r="H4" s="3" t="s">
        <v>29</v>
      </c>
      <c r="I4" s="3" t="s">
        <v>30</v>
      </c>
      <c r="J4" s="3" t="s">
        <v>31</v>
      </c>
      <c r="K4" s="3" t="s">
        <v>19</v>
      </c>
      <c r="L4" s="3" t="s">
        <v>20</v>
      </c>
    </row>
    <row r="5" spans="1:25" ht="15.75" customHeight="1">
      <c r="A5" s="3" t="s">
        <v>32</v>
      </c>
      <c r="B5" s="3" t="s">
        <v>13</v>
      </c>
      <c r="C5" s="3" t="s">
        <v>33</v>
      </c>
      <c r="D5" s="3" t="s">
        <v>34</v>
      </c>
      <c r="E5" s="3">
        <v>2020</v>
      </c>
      <c r="F5" s="4" t="s">
        <v>35</v>
      </c>
      <c r="G5" s="3" t="s">
        <v>17</v>
      </c>
      <c r="H5" s="3" t="s">
        <v>29</v>
      </c>
      <c r="I5" s="3" t="s">
        <v>30</v>
      </c>
      <c r="J5" s="3" t="s">
        <v>36</v>
      </c>
      <c r="K5" s="3" t="s">
        <v>19</v>
      </c>
      <c r="L5" s="3" t="s">
        <v>20</v>
      </c>
    </row>
    <row r="6" spans="1:25" ht="15.75" customHeight="1">
      <c r="A6" s="5" t="s">
        <v>37</v>
      </c>
      <c r="B6" s="5" t="s">
        <v>13</v>
      </c>
      <c r="C6" s="5" t="s">
        <v>38</v>
      </c>
      <c r="D6" s="5" t="s">
        <v>39</v>
      </c>
      <c r="E6" s="5">
        <v>2021</v>
      </c>
      <c r="F6" s="6" t="s">
        <v>40</v>
      </c>
      <c r="G6" s="5" t="s">
        <v>17</v>
      </c>
      <c r="H6" s="5" t="s">
        <v>29</v>
      </c>
      <c r="I6" s="5" t="s">
        <v>30</v>
      </c>
      <c r="J6" s="5" t="s">
        <v>41</v>
      </c>
      <c r="K6" s="5" t="s">
        <v>19</v>
      </c>
      <c r="L6" s="5" t="s">
        <v>20</v>
      </c>
    </row>
    <row r="7" spans="1:25" ht="15.75" customHeight="1">
      <c r="A7" s="3" t="s">
        <v>42</v>
      </c>
      <c r="B7" s="3" t="s">
        <v>13</v>
      </c>
      <c r="C7" s="3" t="s">
        <v>43</v>
      </c>
      <c r="D7" s="3" t="s">
        <v>44</v>
      </c>
      <c r="E7" s="3">
        <v>2020</v>
      </c>
      <c r="F7" s="4" t="s">
        <v>45</v>
      </c>
      <c r="G7" s="3" t="s">
        <v>17</v>
      </c>
      <c r="H7" s="3" t="s">
        <v>18</v>
      </c>
      <c r="K7" s="3" t="s">
        <v>19</v>
      </c>
      <c r="L7" s="3" t="s">
        <v>20</v>
      </c>
    </row>
    <row r="8" spans="1:25" ht="15.75" customHeight="1">
      <c r="A8" s="3" t="s">
        <v>46</v>
      </c>
      <c r="B8" s="3" t="s">
        <v>13</v>
      </c>
      <c r="C8" s="3" t="s">
        <v>47</v>
      </c>
      <c r="D8" s="3" t="s">
        <v>48</v>
      </c>
      <c r="E8" s="3">
        <v>2021</v>
      </c>
      <c r="F8" s="4" t="s">
        <v>49</v>
      </c>
      <c r="G8" s="3" t="s">
        <v>17</v>
      </c>
      <c r="H8" s="3" t="s">
        <v>18</v>
      </c>
      <c r="K8" s="3" t="s">
        <v>19</v>
      </c>
      <c r="L8" s="3" t="s">
        <v>20</v>
      </c>
    </row>
    <row r="9" spans="1:25" ht="15.75" customHeight="1">
      <c r="A9" s="3" t="s">
        <v>50</v>
      </c>
      <c r="B9" s="3" t="s">
        <v>13</v>
      </c>
      <c r="C9" s="3" t="s">
        <v>51</v>
      </c>
      <c r="D9" s="3" t="s">
        <v>52</v>
      </c>
      <c r="E9" s="3">
        <v>2023</v>
      </c>
      <c r="F9" s="4" t="s">
        <v>53</v>
      </c>
      <c r="G9" s="3" t="s">
        <v>17</v>
      </c>
      <c r="H9" s="3" t="s">
        <v>29</v>
      </c>
      <c r="I9" s="3" t="s">
        <v>30</v>
      </c>
      <c r="J9" s="3" t="s">
        <v>54</v>
      </c>
      <c r="K9" s="3" t="s">
        <v>19</v>
      </c>
      <c r="L9" s="3" t="s">
        <v>20</v>
      </c>
    </row>
    <row r="10" spans="1:25" ht="15.75" customHeight="1">
      <c r="A10" s="3" t="s">
        <v>55</v>
      </c>
      <c r="B10" s="3" t="s">
        <v>13</v>
      </c>
      <c r="C10" s="3" t="s">
        <v>56</v>
      </c>
      <c r="D10" s="3" t="s">
        <v>57</v>
      </c>
      <c r="E10" s="3">
        <v>2020</v>
      </c>
      <c r="F10" s="4" t="s">
        <v>58</v>
      </c>
      <c r="G10" s="3" t="s">
        <v>17</v>
      </c>
      <c r="H10" s="3" t="s">
        <v>29</v>
      </c>
      <c r="I10" s="3" t="s">
        <v>59</v>
      </c>
      <c r="J10" s="3" t="s">
        <v>60</v>
      </c>
      <c r="K10" s="3" t="s">
        <v>19</v>
      </c>
      <c r="L10" s="3" t="s">
        <v>20</v>
      </c>
    </row>
    <row r="11" spans="1:25" ht="15.75" customHeight="1">
      <c r="A11" s="3" t="s">
        <v>61</v>
      </c>
      <c r="B11" s="3" t="s">
        <v>13</v>
      </c>
      <c r="C11" s="3" t="s">
        <v>62</v>
      </c>
      <c r="D11" s="3" t="s">
        <v>63</v>
      </c>
      <c r="E11" s="3">
        <v>2023</v>
      </c>
      <c r="F11" s="4" t="s">
        <v>64</v>
      </c>
      <c r="G11" s="3" t="s">
        <v>17</v>
      </c>
      <c r="H11" s="3" t="s">
        <v>29</v>
      </c>
      <c r="I11" s="3" t="s">
        <v>30</v>
      </c>
      <c r="J11" s="3" t="s">
        <v>65</v>
      </c>
      <c r="K11" s="3" t="s">
        <v>19</v>
      </c>
      <c r="L11" s="3" t="s">
        <v>20</v>
      </c>
    </row>
    <row r="12" spans="1:25" ht="15.75" customHeight="1">
      <c r="A12" s="3" t="s">
        <v>66</v>
      </c>
      <c r="B12" s="3" t="s">
        <v>13</v>
      </c>
      <c r="C12" s="3" t="s">
        <v>67</v>
      </c>
      <c r="D12" s="3" t="s">
        <v>68</v>
      </c>
      <c r="E12" s="3">
        <v>2020</v>
      </c>
      <c r="F12" s="4" t="s">
        <v>69</v>
      </c>
      <c r="G12" s="3" t="s">
        <v>17</v>
      </c>
      <c r="H12" s="3" t="s">
        <v>18</v>
      </c>
      <c r="J12" s="3"/>
      <c r="K12" s="3" t="s">
        <v>19</v>
      </c>
      <c r="L12" s="3" t="s">
        <v>20</v>
      </c>
    </row>
    <row r="13" spans="1:25" ht="15.75" customHeight="1">
      <c r="A13" s="3" t="s">
        <v>70</v>
      </c>
      <c r="B13" s="3" t="s">
        <v>13</v>
      </c>
      <c r="C13" s="3" t="s">
        <v>71</v>
      </c>
      <c r="D13" s="3" t="s">
        <v>72</v>
      </c>
      <c r="E13" s="3">
        <v>2020</v>
      </c>
      <c r="F13" s="4" t="s">
        <v>73</v>
      </c>
      <c r="G13" s="3" t="s">
        <v>17</v>
      </c>
      <c r="H13" s="3" t="s">
        <v>18</v>
      </c>
      <c r="J13" s="3"/>
      <c r="K13" s="3" t="s">
        <v>19</v>
      </c>
      <c r="L13" s="3" t="s">
        <v>20</v>
      </c>
    </row>
    <row r="14" spans="1:25" ht="15.75" customHeight="1">
      <c r="A14" s="3" t="s">
        <v>74</v>
      </c>
      <c r="B14" s="3" t="s">
        <v>75</v>
      </c>
      <c r="C14" s="3" t="s">
        <v>76</v>
      </c>
      <c r="D14" s="3" t="s">
        <v>77</v>
      </c>
      <c r="E14" s="3">
        <v>2023</v>
      </c>
      <c r="F14" s="4" t="s">
        <v>78</v>
      </c>
      <c r="G14" s="3" t="s">
        <v>79</v>
      </c>
      <c r="H14" s="3" t="s">
        <v>18</v>
      </c>
      <c r="K14" s="3" t="s">
        <v>19</v>
      </c>
      <c r="L14" s="3" t="s">
        <v>20</v>
      </c>
    </row>
    <row r="15" spans="1:25" ht="15.75" customHeight="1">
      <c r="A15" s="3" t="s">
        <v>80</v>
      </c>
      <c r="B15" s="3" t="s">
        <v>75</v>
      </c>
      <c r="C15" s="3" t="s">
        <v>81</v>
      </c>
      <c r="D15" s="3" t="s">
        <v>82</v>
      </c>
      <c r="E15" s="3">
        <v>2024</v>
      </c>
      <c r="F15" s="4" t="s">
        <v>83</v>
      </c>
      <c r="G15" s="3" t="s">
        <v>79</v>
      </c>
      <c r="H15" s="3" t="s">
        <v>29</v>
      </c>
      <c r="I15" s="3" t="s">
        <v>30</v>
      </c>
      <c r="J15" s="3" t="s">
        <v>84</v>
      </c>
      <c r="K15" s="3" t="s">
        <v>19</v>
      </c>
      <c r="L15" s="3" t="s">
        <v>20</v>
      </c>
    </row>
    <row r="16" spans="1:25" ht="15.75" customHeight="1">
      <c r="A16" s="3" t="s">
        <v>85</v>
      </c>
      <c r="B16" s="3" t="s">
        <v>75</v>
      </c>
      <c r="C16" s="3" t="s">
        <v>86</v>
      </c>
      <c r="D16" s="3" t="s">
        <v>87</v>
      </c>
      <c r="E16" s="3">
        <v>2024</v>
      </c>
      <c r="F16" s="4" t="s">
        <v>88</v>
      </c>
      <c r="G16" s="3" t="s">
        <v>79</v>
      </c>
      <c r="H16" s="3" t="s">
        <v>29</v>
      </c>
      <c r="I16" s="3" t="s">
        <v>89</v>
      </c>
      <c r="K16" s="3" t="s">
        <v>19</v>
      </c>
      <c r="L16" s="3" t="s">
        <v>20</v>
      </c>
    </row>
    <row r="17" spans="1:12" ht="15.75" customHeight="1">
      <c r="A17" s="3" t="s">
        <v>90</v>
      </c>
      <c r="B17" s="3" t="s">
        <v>75</v>
      </c>
      <c r="C17" s="3" t="s">
        <v>91</v>
      </c>
      <c r="D17" s="3" t="s">
        <v>92</v>
      </c>
      <c r="E17" s="3">
        <v>2023</v>
      </c>
      <c r="F17" s="4" t="s">
        <v>93</v>
      </c>
      <c r="G17" s="3" t="s">
        <v>79</v>
      </c>
      <c r="H17" s="3" t="s">
        <v>29</v>
      </c>
      <c r="I17" s="3" t="s">
        <v>94</v>
      </c>
      <c r="K17" s="3" t="s">
        <v>19</v>
      </c>
      <c r="L17" s="3" t="s">
        <v>20</v>
      </c>
    </row>
    <row r="18" spans="1:12" ht="15.75" customHeight="1">
      <c r="A18" s="3" t="s">
        <v>95</v>
      </c>
      <c r="B18" s="3" t="s">
        <v>75</v>
      </c>
      <c r="C18" s="3" t="s">
        <v>96</v>
      </c>
      <c r="D18" s="3" t="s">
        <v>97</v>
      </c>
      <c r="E18" s="3">
        <v>2024</v>
      </c>
      <c r="F18" s="4" t="s">
        <v>98</v>
      </c>
      <c r="G18" s="3" t="s">
        <v>79</v>
      </c>
      <c r="H18" s="3" t="s">
        <v>29</v>
      </c>
      <c r="I18" s="3" t="s">
        <v>59</v>
      </c>
      <c r="J18" s="3" t="s">
        <v>99</v>
      </c>
      <c r="K18" s="3" t="s">
        <v>19</v>
      </c>
      <c r="L18" s="3" t="s">
        <v>20</v>
      </c>
    </row>
    <row r="19" spans="1:12" ht="15.75" customHeight="1">
      <c r="A19" s="3" t="s">
        <v>100</v>
      </c>
      <c r="B19" s="3" t="s">
        <v>75</v>
      </c>
      <c r="C19" s="3" t="s">
        <v>101</v>
      </c>
      <c r="D19" s="3" t="s">
        <v>102</v>
      </c>
      <c r="E19" s="3">
        <v>2022</v>
      </c>
      <c r="F19" s="4" t="s">
        <v>103</v>
      </c>
      <c r="G19" s="3" t="s">
        <v>79</v>
      </c>
      <c r="H19" s="3" t="s">
        <v>18</v>
      </c>
      <c r="K19" s="3" t="s">
        <v>19</v>
      </c>
      <c r="L19" s="3" t="s">
        <v>20</v>
      </c>
    </row>
    <row r="20" spans="1:12" ht="15.75" customHeight="1">
      <c r="A20" s="3" t="s">
        <v>104</v>
      </c>
      <c r="B20" s="3" t="s">
        <v>75</v>
      </c>
      <c r="C20" s="3" t="s">
        <v>105</v>
      </c>
      <c r="D20" s="3" t="s">
        <v>106</v>
      </c>
      <c r="E20" s="3">
        <v>2023</v>
      </c>
      <c r="F20" s="4" t="s">
        <v>107</v>
      </c>
      <c r="G20" s="3" t="s">
        <v>79</v>
      </c>
      <c r="H20" s="3" t="s">
        <v>29</v>
      </c>
      <c r="I20" s="3" t="s">
        <v>30</v>
      </c>
      <c r="J20" s="3" t="s">
        <v>108</v>
      </c>
      <c r="K20" s="3" t="s">
        <v>19</v>
      </c>
      <c r="L20" s="3" t="s">
        <v>20</v>
      </c>
    </row>
    <row r="21" spans="1:12" ht="15.75" customHeight="1">
      <c r="A21" s="3" t="s">
        <v>109</v>
      </c>
      <c r="B21" s="3" t="s">
        <v>75</v>
      </c>
      <c r="C21" s="3" t="s">
        <v>110</v>
      </c>
      <c r="D21" s="3" t="s">
        <v>111</v>
      </c>
      <c r="E21" s="3">
        <v>2024</v>
      </c>
      <c r="F21" s="4" t="s">
        <v>112</v>
      </c>
      <c r="G21" s="3" t="s">
        <v>79</v>
      </c>
      <c r="H21" s="3" t="s">
        <v>29</v>
      </c>
      <c r="I21" s="3" t="s">
        <v>30</v>
      </c>
      <c r="J21" s="3" t="s">
        <v>113</v>
      </c>
      <c r="K21" s="3" t="s">
        <v>19</v>
      </c>
      <c r="L21" s="3" t="s">
        <v>20</v>
      </c>
    </row>
    <row r="22" spans="1:12" ht="12.5" customHeight="1">
      <c r="A22" s="3" t="s">
        <v>114</v>
      </c>
      <c r="B22" s="3" t="s">
        <v>75</v>
      </c>
      <c r="C22" s="3" t="s">
        <v>115</v>
      </c>
      <c r="D22" s="3" t="s">
        <v>116</v>
      </c>
      <c r="E22" s="3">
        <v>2021</v>
      </c>
      <c r="F22" s="4" t="s">
        <v>117</v>
      </c>
      <c r="G22" s="3" t="s">
        <v>79</v>
      </c>
      <c r="H22" s="3" t="s">
        <v>29</v>
      </c>
      <c r="I22" s="3" t="s">
        <v>30</v>
      </c>
      <c r="J22" s="3" t="s">
        <v>118</v>
      </c>
      <c r="K22" s="3" t="s">
        <v>19</v>
      </c>
      <c r="L22" s="3" t="s">
        <v>20</v>
      </c>
    </row>
    <row r="23" spans="1:12" ht="12.5" customHeight="1">
      <c r="A23" s="3" t="s">
        <v>119</v>
      </c>
      <c r="B23" s="3" t="s">
        <v>75</v>
      </c>
      <c r="C23" s="3" t="s">
        <v>120</v>
      </c>
      <c r="D23" s="3" t="s">
        <v>121</v>
      </c>
      <c r="E23" s="3">
        <v>2021</v>
      </c>
      <c r="F23" s="4" t="s">
        <v>122</v>
      </c>
      <c r="G23" s="3" t="s">
        <v>79</v>
      </c>
      <c r="H23" s="3" t="s">
        <v>29</v>
      </c>
      <c r="I23" s="3" t="s">
        <v>59</v>
      </c>
      <c r="J23" s="3" t="s">
        <v>123</v>
      </c>
      <c r="K23" s="3" t="s">
        <v>19</v>
      </c>
      <c r="L23" s="3" t="s">
        <v>20</v>
      </c>
    </row>
    <row r="24" spans="1:12" ht="12.5" customHeight="1">
      <c r="A24" s="3" t="s">
        <v>124</v>
      </c>
      <c r="B24" s="3" t="s">
        <v>75</v>
      </c>
      <c r="C24" s="3" t="s">
        <v>125</v>
      </c>
      <c r="D24" s="3" t="s">
        <v>126</v>
      </c>
      <c r="E24" s="3">
        <v>2020</v>
      </c>
      <c r="F24" s="4" t="s">
        <v>127</v>
      </c>
      <c r="G24" s="3" t="s">
        <v>79</v>
      </c>
      <c r="H24" s="3" t="s">
        <v>29</v>
      </c>
      <c r="I24" s="3" t="s">
        <v>30</v>
      </c>
      <c r="J24" s="3" t="s">
        <v>128</v>
      </c>
      <c r="K24" s="3" t="s">
        <v>19</v>
      </c>
      <c r="L24" s="3" t="s">
        <v>20</v>
      </c>
    </row>
    <row r="25" spans="1:12" ht="12.5" customHeight="1">
      <c r="A25" s="3" t="s">
        <v>129</v>
      </c>
      <c r="B25" s="3" t="s">
        <v>75</v>
      </c>
      <c r="C25" s="3" t="s">
        <v>130</v>
      </c>
      <c r="D25" s="3" t="s">
        <v>131</v>
      </c>
      <c r="E25" s="3">
        <v>2023</v>
      </c>
      <c r="F25" s="4" t="s">
        <v>132</v>
      </c>
      <c r="G25" s="3" t="s">
        <v>79</v>
      </c>
      <c r="H25" s="3" t="s">
        <v>29</v>
      </c>
      <c r="I25" s="3" t="s">
        <v>30</v>
      </c>
      <c r="J25" s="3" t="s">
        <v>128</v>
      </c>
      <c r="K25" s="3" t="s">
        <v>19</v>
      </c>
      <c r="L25" s="3" t="s">
        <v>20</v>
      </c>
    </row>
    <row r="26" spans="1:12" ht="12.5" customHeight="1">
      <c r="A26" s="3" t="s">
        <v>133</v>
      </c>
      <c r="B26" s="3" t="s">
        <v>75</v>
      </c>
      <c r="C26" s="3" t="s">
        <v>134</v>
      </c>
      <c r="D26" s="3" t="s">
        <v>135</v>
      </c>
      <c r="E26" s="3">
        <v>2020</v>
      </c>
      <c r="F26" s="4" t="s">
        <v>136</v>
      </c>
      <c r="G26" s="3" t="s">
        <v>79</v>
      </c>
      <c r="H26" s="3" t="s">
        <v>18</v>
      </c>
      <c r="K26" s="3" t="s">
        <v>19</v>
      </c>
      <c r="L26" s="3" t="s">
        <v>20</v>
      </c>
    </row>
    <row r="27" spans="1:12" ht="12.5" customHeight="1">
      <c r="A27" s="3" t="s">
        <v>137</v>
      </c>
      <c r="B27" s="3" t="s">
        <v>75</v>
      </c>
      <c r="C27" s="3" t="s">
        <v>138</v>
      </c>
      <c r="D27" s="3" t="s">
        <v>139</v>
      </c>
      <c r="E27" s="3">
        <v>2021</v>
      </c>
      <c r="F27" s="4" t="s">
        <v>140</v>
      </c>
      <c r="G27" s="3" t="s">
        <v>79</v>
      </c>
      <c r="H27" s="3" t="s">
        <v>3161</v>
      </c>
      <c r="I27" t="s">
        <v>3162</v>
      </c>
      <c r="J27" t="s">
        <v>3163</v>
      </c>
      <c r="K27" s="3" t="s">
        <v>19</v>
      </c>
      <c r="L27" s="3" t="s">
        <v>20</v>
      </c>
    </row>
    <row r="28" spans="1:12" ht="12.5" customHeight="1">
      <c r="A28" s="3" t="s">
        <v>141</v>
      </c>
      <c r="B28" s="3" t="s">
        <v>75</v>
      </c>
      <c r="C28" s="3" t="s">
        <v>142</v>
      </c>
      <c r="D28" s="3" t="s">
        <v>143</v>
      </c>
      <c r="E28" s="3">
        <v>2023</v>
      </c>
      <c r="F28" s="4" t="s">
        <v>144</v>
      </c>
      <c r="G28" s="3" t="s">
        <v>79</v>
      </c>
      <c r="H28" s="3" t="s">
        <v>29</v>
      </c>
      <c r="I28" s="3" t="s">
        <v>30</v>
      </c>
      <c r="J28" s="3" t="s">
        <v>145</v>
      </c>
      <c r="K28" s="3" t="s">
        <v>19</v>
      </c>
      <c r="L28" s="3" t="s">
        <v>20</v>
      </c>
    </row>
    <row r="29" spans="1:12" ht="12.5" customHeight="1">
      <c r="A29" s="3" t="s">
        <v>146</v>
      </c>
      <c r="B29" s="3" t="s">
        <v>75</v>
      </c>
      <c r="C29" s="3" t="s">
        <v>147</v>
      </c>
      <c r="D29" s="3" t="s">
        <v>148</v>
      </c>
      <c r="E29" s="3">
        <v>2024</v>
      </c>
      <c r="F29" s="4" t="s">
        <v>149</v>
      </c>
      <c r="G29" s="3" t="s">
        <v>79</v>
      </c>
      <c r="H29" s="3" t="s">
        <v>29</v>
      </c>
      <c r="I29" s="3" t="s">
        <v>30</v>
      </c>
      <c r="J29" s="3" t="s">
        <v>65</v>
      </c>
      <c r="K29" s="3" t="s">
        <v>19</v>
      </c>
      <c r="L29" s="3" t="s">
        <v>20</v>
      </c>
    </row>
    <row r="30" spans="1:12" ht="12.5" customHeight="1">
      <c r="A30" s="3" t="s">
        <v>150</v>
      </c>
      <c r="B30" s="3" t="s">
        <v>75</v>
      </c>
      <c r="C30" s="3" t="s">
        <v>151</v>
      </c>
      <c r="D30" s="3" t="s">
        <v>152</v>
      </c>
      <c r="E30" s="3">
        <v>2022</v>
      </c>
      <c r="F30" s="4" t="s">
        <v>153</v>
      </c>
      <c r="G30" s="3" t="s">
        <v>79</v>
      </c>
      <c r="H30" s="3" t="s">
        <v>18</v>
      </c>
      <c r="J30" s="3"/>
      <c r="K30" s="3" t="s">
        <v>19</v>
      </c>
      <c r="L30" s="3" t="s">
        <v>20</v>
      </c>
    </row>
    <row r="31" spans="1:12" ht="12.5" customHeight="1">
      <c r="A31" s="3" t="s">
        <v>154</v>
      </c>
      <c r="B31" s="3" t="s">
        <v>155</v>
      </c>
      <c r="C31" s="3" t="s">
        <v>156</v>
      </c>
      <c r="D31" s="3" t="s">
        <v>157</v>
      </c>
      <c r="E31" s="3">
        <v>2023</v>
      </c>
      <c r="F31" s="4" t="s">
        <v>158</v>
      </c>
      <c r="G31" s="3" t="s">
        <v>159</v>
      </c>
      <c r="H31" s="3" t="s">
        <v>29</v>
      </c>
      <c r="I31" s="3" t="s">
        <v>89</v>
      </c>
      <c r="K31" s="3" t="s">
        <v>19</v>
      </c>
      <c r="L31" s="3" t="s">
        <v>20</v>
      </c>
    </row>
    <row r="32" spans="1:12" ht="12.5" customHeight="1">
      <c r="A32" s="3" t="s">
        <v>160</v>
      </c>
      <c r="B32" s="3" t="s">
        <v>155</v>
      </c>
      <c r="C32" s="3" t="s">
        <v>161</v>
      </c>
      <c r="D32" s="3" t="s">
        <v>162</v>
      </c>
      <c r="E32" s="3">
        <v>2021</v>
      </c>
      <c r="F32" s="4" t="s">
        <v>163</v>
      </c>
      <c r="G32" s="3" t="s">
        <v>164</v>
      </c>
      <c r="H32" s="3" t="s">
        <v>29</v>
      </c>
      <c r="I32" s="3" t="s">
        <v>59</v>
      </c>
      <c r="J32" s="3" t="s">
        <v>165</v>
      </c>
      <c r="K32" s="3" t="s">
        <v>19</v>
      </c>
      <c r="L32" s="3" t="s">
        <v>20</v>
      </c>
    </row>
    <row r="33" spans="1:12" ht="12.5" customHeight="1">
      <c r="A33" s="3" t="s">
        <v>166</v>
      </c>
      <c r="B33" s="3" t="s">
        <v>155</v>
      </c>
      <c r="C33" s="3" t="s">
        <v>167</v>
      </c>
      <c r="D33" s="3" t="s">
        <v>168</v>
      </c>
      <c r="E33" s="3">
        <v>2023</v>
      </c>
      <c r="F33" s="4" t="s">
        <v>169</v>
      </c>
      <c r="G33" s="3" t="s">
        <v>164</v>
      </c>
      <c r="H33" s="3" t="s">
        <v>29</v>
      </c>
      <c r="I33" s="3" t="s">
        <v>89</v>
      </c>
      <c r="K33" s="3" t="s">
        <v>19</v>
      </c>
      <c r="L33" s="3" t="s">
        <v>20</v>
      </c>
    </row>
    <row r="34" spans="1:12" ht="12.5" customHeight="1">
      <c r="A34" s="3" t="s">
        <v>170</v>
      </c>
      <c r="B34" s="3" t="s">
        <v>155</v>
      </c>
      <c r="C34" s="3" t="s">
        <v>171</v>
      </c>
      <c r="D34" s="3" t="s">
        <v>172</v>
      </c>
      <c r="E34" s="3">
        <v>2021</v>
      </c>
      <c r="F34" s="4" t="s">
        <v>173</v>
      </c>
      <c r="G34" s="3" t="s">
        <v>174</v>
      </c>
      <c r="H34" s="3" t="s">
        <v>29</v>
      </c>
      <c r="I34" s="3" t="s">
        <v>89</v>
      </c>
      <c r="K34" s="3" t="s">
        <v>19</v>
      </c>
      <c r="L34" s="3" t="s">
        <v>20</v>
      </c>
    </row>
    <row r="35" spans="1:12" ht="12.5" customHeight="1">
      <c r="A35" s="3" t="s">
        <v>175</v>
      </c>
      <c r="B35" s="3" t="s">
        <v>155</v>
      </c>
      <c r="C35" s="3" t="s">
        <v>176</v>
      </c>
      <c r="D35" s="3" t="s">
        <v>177</v>
      </c>
      <c r="E35" s="3">
        <v>2023</v>
      </c>
      <c r="F35" s="4" t="s">
        <v>178</v>
      </c>
      <c r="G35" s="3" t="s">
        <v>179</v>
      </c>
      <c r="H35" s="3" t="s">
        <v>18</v>
      </c>
      <c r="K35" s="3" t="s">
        <v>19</v>
      </c>
      <c r="L35" s="3" t="s">
        <v>20</v>
      </c>
    </row>
    <row r="36" spans="1:12" ht="12.5" customHeight="1">
      <c r="A36" s="3" t="s">
        <v>180</v>
      </c>
      <c r="B36" s="3" t="s">
        <v>155</v>
      </c>
      <c r="C36" s="3" t="s">
        <v>181</v>
      </c>
      <c r="D36" s="3" t="s">
        <v>182</v>
      </c>
      <c r="E36" s="3">
        <v>2020</v>
      </c>
      <c r="F36" s="4" t="s">
        <v>183</v>
      </c>
      <c r="G36" s="3" t="s">
        <v>184</v>
      </c>
      <c r="H36" s="3" t="s">
        <v>29</v>
      </c>
      <c r="I36" s="3" t="s">
        <v>59</v>
      </c>
      <c r="J36" s="3" t="s">
        <v>185</v>
      </c>
      <c r="K36" s="3" t="s">
        <v>19</v>
      </c>
      <c r="L36" s="3" t="s">
        <v>20</v>
      </c>
    </row>
    <row r="37" spans="1:12" ht="12.5" customHeight="1">
      <c r="A37" s="3" t="s">
        <v>186</v>
      </c>
      <c r="B37" s="3" t="s">
        <v>155</v>
      </c>
      <c r="C37" s="3" t="s">
        <v>187</v>
      </c>
      <c r="D37" s="3" t="s">
        <v>188</v>
      </c>
      <c r="E37" s="3">
        <v>2022</v>
      </c>
      <c r="F37" s="4" t="s">
        <v>189</v>
      </c>
      <c r="G37" s="3" t="s">
        <v>190</v>
      </c>
      <c r="H37" s="3" t="s">
        <v>29</v>
      </c>
      <c r="I37" s="3" t="s">
        <v>59</v>
      </c>
      <c r="J37" s="3" t="s">
        <v>191</v>
      </c>
      <c r="K37" s="3" t="s">
        <v>19</v>
      </c>
      <c r="L37" s="3" t="s">
        <v>20</v>
      </c>
    </row>
    <row r="38" spans="1:12" ht="12.5" customHeight="1">
      <c r="A38" s="3" t="s">
        <v>192</v>
      </c>
      <c r="B38" s="3" t="s">
        <v>155</v>
      </c>
      <c r="C38" s="3" t="s">
        <v>193</v>
      </c>
      <c r="D38" s="3" t="s">
        <v>194</v>
      </c>
      <c r="E38" s="3">
        <v>2020</v>
      </c>
      <c r="F38" s="4" t="s">
        <v>195</v>
      </c>
      <c r="G38" s="3" t="s">
        <v>164</v>
      </c>
      <c r="H38" s="3" t="s">
        <v>29</v>
      </c>
      <c r="I38" s="3" t="s">
        <v>89</v>
      </c>
      <c r="K38" s="3" t="s">
        <v>19</v>
      </c>
      <c r="L38" s="3" t="s">
        <v>20</v>
      </c>
    </row>
    <row r="39" spans="1:12" ht="12.5" customHeight="1">
      <c r="A39" s="3" t="s">
        <v>196</v>
      </c>
      <c r="B39" s="3" t="s">
        <v>155</v>
      </c>
      <c r="C39" s="3" t="s">
        <v>197</v>
      </c>
      <c r="D39" s="3" t="s">
        <v>198</v>
      </c>
      <c r="E39" s="3">
        <v>2020</v>
      </c>
      <c r="F39" s="4" t="s">
        <v>199</v>
      </c>
      <c r="G39" s="3" t="s">
        <v>200</v>
      </c>
      <c r="H39" s="3" t="s">
        <v>18</v>
      </c>
      <c r="K39" s="3" t="s">
        <v>19</v>
      </c>
      <c r="L39" s="3" t="s">
        <v>20</v>
      </c>
    </row>
    <row r="45" spans="1:12" ht="18" customHeight="1">
      <c r="C45" s="7"/>
      <c r="D45" s="8"/>
      <c r="E45" s="8"/>
      <c r="F45" s="9"/>
      <c r="G45" s="8"/>
    </row>
    <row r="46" spans="1:12" ht="18" customHeight="1">
      <c r="C46" s="7"/>
      <c r="D46" s="8"/>
      <c r="E46" s="8"/>
      <c r="F46" s="9"/>
      <c r="G46" s="8"/>
    </row>
    <row r="47" spans="1:12" ht="18" customHeight="1">
      <c r="C47" s="7"/>
      <c r="D47" s="8"/>
      <c r="E47" s="8"/>
      <c r="F47" s="9"/>
      <c r="G47" s="8"/>
    </row>
    <row r="48" spans="1:12" ht="18" customHeight="1">
      <c r="B48" s="2"/>
      <c r="C48" s="2"/>
      <c r="D48" s="2"/>
      <c r="E48" s="2"/>
      <c r="F48" s="2"/>
      <c r="G48" s="8"/>
    </row>
    <row r="49" spans="2:7" ht="18" customHeight="1">
      <c r="B49" s="2"/>
      <c r="C49" s="2"/>
      <c r="D49" s="2"/>
      <c r="E49" s="2"/>
      <c r="F49" s="2"/>
      <c r="G49" s="8"/>
    </row>
    <row r="50" spans="2:7" ht="18" customHeight="1">
      <c r="B50" s="2"/>
      <c r="C50" s="2"/>
      <c r="D50" s="2"/>
      <c r="E50" s="2"/>
      <c r="F50" s="2"/>
      <c r="G50" s="8"/>
    </row>
    <row r="51" spans="2:7" ht="18" customHeight="1">
      <c r="B51" s="2"/>
      <c r="C51" s="2"/>
      <c r="D51" s="2"/>
      <c r="E51" s="2"/>
      <c r="F51" s="2"/>
      <c r="G51" s="8"/>
    </row>
    <row r="52" spans="2:7" ht="18" customHeight="1">
      <c r="B52" s="2"/>
      <c r="C52" s="2"/>
      <c r="D52" s="2"/>
      <c r="E52" s="2"/>
      <c r="F52" s="2"/>
      <c r="G52" s="8"/>
    </row>
    <row r="53" spans="2:7" ht="18" customHeight="1">
      <c r="B53" s="2"/>
      <c r="C53" s="2"/>
      <c r="D53" s="2"/>
      <c r="E53" s="2"/>
      <c r="F53" s="2"/>
      <c r="G53" s="8"/>
    </row>
    <row r="54" spans="2:7" ht="18" customHeight="1">
      <c r="B54" s="2"/>
      <c r="C54" s="2"/>
      <c r="D54" s="2"/>
      <c r="E54" s="2"/>
      <c r="F54" s="2"/>
      <c r="G54" s="8"/>
    </row>
    <row r="55" spans="2:7" ht="18" customHeight="1">
      <c r="B55" s="2"/>
      <c r="C55" s="2"/>
      <c r="D55" s="2"/>
      <c r="E55" s="2"/>
      <c r="F55" s="2"/>
      <c r="G55" s="8"/>
    </row>
    <row r="56" spans="2:7" ht="18" customHeight="1">
      <c r="B56" s="2"/>
      <c r="C56" s="2"/>
      <c r="D56" s="2"/>
      <c r="E56" s="2"/>
      <c r="F56" s="2"/>
      <c r="G56" s="8"/>
    </row>
    <row r="57" spans="2:7" ht="18" customHeight="1">
      <c r="B57" s="2"/>
      <c r="C57" s="2"/>
      <c r="D57" s="2"/>
      <c r="E57" s="2"/>
      <c r="F57" s="2"/>
      <c r="G57" s="8"/>
    </row>
    <row r="58" spans="2:7" ht="18" customHeight="1">
      <c r="B58" s="2"/>
      <c r="C58" s="2"/>
      <c r="D58" s="2"/>
      <c r="E58" s="2"/>
      <c r="F58" s="2"/>
      <c r="G58" s="8"/>
    </row>
    <row r="59" spans="2:7" ht="18" customHeight="1">
      <c r="B59" s="2"/>
      <c r="C59" s="2"/>
      <c r="D59" s="2"/>
      <c r="E59" s="2"/>
      <c r="F59" s="2"/>
      <c r="G59" s="8"/>
    </row>
    <row r="60" spans="2:7" ht="18" customHeight="1">
      <c r="B60" s="2"/>
      <c r="C60" s="2"/>
      <c r="D60" s="2"/>
      <c r="E60" s="2"/>
      <c r="F60" s="2"/>
      <c r="G60" s="8"/>
    </row>
    <row r="61" spans="2:7" ht="18" customHeight="1">
      <c r="C61" s="2"/>
      <c r="D61" s="2"/>
      <c r="E61" s="2"/>
      <c r="F61" s="2"/>
      <c r="G61" s="8"/>
    </row>
    <row r="62" spans="2:7" ht="18" customHeight="1">
      <c r="B62" s="2"/>
      <c r="C62" s="2"/>
      <c r="D62" s="2"/>
      <c r="E62" s="2"/>
      <c r="F62" s="2"/>
      <c r="G62" s="8"/>
    </row>
    <row r="63" spans="2:7" ht="18" customHeight="1">
      <c r="B63" s="2"/>
      <c r="C63" s="2"/>
      <c r="D63" s="2"/>
      <c r="E63" s="2"/>
      <c r="F63" s="2"/>
      <c r="G63" s="8"/>
    </row>
    <row r="64" spans="2:7" ht="18" customHeight="1">
      <c r="C64" s="2"/>
      <c r="D64" s="2"/>
      <c r="E64" s="2"/>
      <c r="F64" s="2"/>
      <c r="G64" s="8"/>
    </row>
    <row r="65" spans="2:7" ht="18" customHeight="1">
      <c r="B65" s="2"/>
      <c r="C65" s="2"/>
      <c r="D65" s="2"/>
      <c r="E65" s="2"/>
      <c r="F65" s="2"/>
      <c r="G65" s="8"/>
    </row>
    <row r="66" spans="2:7" ht="18" customHeight="1">
      <c r="C66" s="2"/>
      <c r="D66" s="2"/>
      <c r="E66" s="2"/>
      <c r="F66" s="2"/>
      <c r="G66" s="8"/>
    </row>
    <row r="67" spans="2:7" ht="18" customHeight="1">
      <c r="C67" s="2"/>
      <c r="D67" s="2"/>
      <c r="E67" s="2"/>
      <c r="F67" s="2"/>
      <c r="G67" s="8"/>
    </row>
    <row r="68" spans="2:7" ht="18" customHeight="1">
      <c r="B68" s="2"/>
      <c r="C68" s="2"/>
      <c r="D68" s="2"/>
      <c r="E68" s="2"/>
      <c r="F68" s="2"/>
      <c r="G68" s="8"/>
    </row>
    <row r="69" spans="2:7" ht="12.5" customHeight="1">
      <c r="B69" s="2"/>
      <c r="C69" s="2"/>
      <c r="D69" s="2"/>
      <c r="E69" s="2"/>
      <c r="F69" s="2"/>
    </row>
    <row r="70" spans="2:7" ht="12.5" customHeight="1">
      <c r="B70" s="2"/>
      <c r="C70" s="2"/>
      <c r="D70" s="2"/>
      <c r="E70" s="2"/>
      <c r="F70" s="2"/>
    </row>
    <row r="71" spans="2:7" ht="12.5" customHeight="1">
      <c r="B71" s="2"/>
      <c r="C71" s="2"/>
      <c r="D71" s="2"/>
      <c r="E71" s="2"/>
      <c r="F71" s="2"/>
    </row>
    <row r="72" spans="2:7" ht="12.5" customHeight="1">
      <c r="B72" s="2"/>
      <c r="C72" s="2"/>
      <c r="D72" s="2"/>
      <c r="E72" s="2"/>
      <c r="F72" s="2"/>
    </row>
    <row r="73" spans="2:7" ht="12.5" customHeight="1">
      <c r="C73" s="2"/>
      <c r="D73" s="2"/>
      <c r="E73" s="2"/>
      <c r="F73" s="2"/>
    </row>
    <row r="74" spans="2:7" ht="12.5" customHeight="1">
      <c r="B74" s="2"/>
      <c r="C74" s="2"/>
      <c r="D74" s="2"/>
      <c r="E74" s="2"/>
      <c r="F74" s="2"/>
    </row>
    <row r="75" spans="2:7" ht="12.5" customHeight="1">
      <c r="C75" s="2"/>
      <c r="D75" s="2"/>
      <c r="E75" s="2"/>
      <c r="F75" s="2"/>
    </row>
    <row r="76" spans="2:7" ht="12.5" customHeight="1">
      <c r="B76" s="2"/>
      <c r="C76" s="2"/>
      <c r="D76" s="2"/>
      <c r="E76" s="2"/>
      <c r="F76" s="2"/>
    </row>
    <row r="77" spans="2:7" ht="12.5" customHeight="1">
      <c r="B77" s="2"/>
      <c r="C77" s="2"/>
      <c r="D77" s="2"/>
      <c r="E77" s="2"/>
      <c r="F77" s="2"/>
    </row>
    <row r="78" spans="2:7" ht="12.5" customHeight="1">
      <c r="B78" s="2"/>
      <c r="C78" s="2"/>
      <c r="D78" s="2"/>
      <c r="E78" s="2"/>
      <c r="F78" s="2"/>
    </row>
    <row r="79" spans="2:7" ht="12.5" customHeight="1">
      <c r="B79" s="2"/>
      <c r="C79" s="2"/>
      <c r="D79" s="2"/>
      <c r="E79" s="2"/>
      <c r="F79" s="2"/>
    </row>
    <row r="80" spans="2:7" ht="12.5" customHeight="1">
      <c r="C80" s="2"/>
      <c r="D80" s="2"/>
      <c r="E80" s="2"/>
      <c r="F80" s="2"/>
    </row>
    <row r="81" spans="2:6" ht="12.5" customHeight="1">
      <c r="B81" s="2"/>
      <c r="C81" s="2"/>
      <c r="D81" s="2"/>
      <c r="E81" s="2"/>
      <c r="F81" s="2"/>
    </row>
    <row r="82" spans="2:6" ht="12.5" customHeight="1">
      <c r="B82" s="2"/>
    </row>
  </sheetData>
  <dataValidations count="2">
    <dataValidation type="list" allowBlank="1" showErrorMessage="1" sqref="H2:H39" xr:uid="{00000000-0002-0000-0000-000000000000}">
      <formula1>"Include,Exclude"</formula1>
    </dataValidation>
    <dataValidation type="list" allowBlank="1" showErrorMessage="1" sqref="I4:I6 I9:I11 I15:I18 I20:I25 I28:I29 I31:I34 I36:I38" xr:uid="{00000000-0002-0000-0000-000001000000}">
      <formula1>"Study list unavailable,&lt;70% DOIs,&lt;20 studies,Rapid/scoping review,Living review,Diagnostic focus,Not English,Other"</formula1>
    </dataValidation>
  </dataValidations>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40"/>
  <sheetViews>
    <sheetView workbookViewId="0">
      <pane ySplit="1" topLeftCell="A2" activePane="bottomLeft" state="frozen"/>
      <selection pane="bottomLeft" activeCell="B3" sqref="B3"/>
    </sheetView>
  </sheetViews>
  <sheetFormatPr defaultColWidth="10.90625" defaultRowHeight="12.5"/>
  <cols>
    <col min="3" max="3" width="29.26953125" customWidth="1"/>
    <col min="9" max="9" width="16.6328125" customWidth="1"/>
  </cols>
  <sheetData>
    <row r="1" spans="1:25" ht="13" customHeight="1">
      <c r="A1" s="1" t="s">
        <v>201</v>
      </c>
      <c r="B1" s="1" t="s">
        <v>1</v>
      </c>
      <c r="C1" s="1" t="s">
        <v>2</v>
      </c>
      <c r="D1" s="1" t="s">
        <v>3</v>
      </c>
      <c r="E1" s="1" t="s">
        <v>4</v>
      </c>
      <c r="F1" s="1" t="s">
        <v>5</v>
      </c>
      <c r="G1" s="1" t="s">
        <v>6</v>
      </c>
      <c r="H1" s="1" t="s">
        <v>202</v>
      </c>
      <c r="I1" s="1" t="s">
        <v>203</v>
      </c>
      <c r="J1" s="1" t="s">
        <v>204</v>
      </c>
      <c r="K1" s="1" t="s">
        <v>205</v>
      </c>
      <c r="L1" s="1" t="s">
        <v>206</v>
      </c>
      <c r="M1" s="1"/>
      <c r="N1" s="1"/>
      <c r="O1" s="1"/>
      <c r="P1" s="1"/>
      <c r="Q1" s="1"/>
      <c r="R1" s="1"/>
      <c r="S1" s="1"/>
      <c r="T1" s="1"/>
      <c r="U1" s="1"/>
      <c r="V1" s="1"/>
      <c r="W1" s="1"/>
      <c r="X1" s="1"/>
      <c r="Y1" s="1"/>
    </row>
    <row r="2" spans="1:25" ht="15.75" customHeight="1">
      <c r="A2" s="3" t="str">
        <f t="shared" ref="A2:A13" si="0">"R"&amp;TEXT(ROW()-1,"00")</f>
        <v>R01</v>
      </c>
      <c r="B2" s="3" t="s">
        <v>13</v>
      </c>
      <c r="C2" s="3" t="s">
        <v>14</v>
      </c>
      <c r="D2" s="3" t="s">
        <v>15</v>
      </c>
      <c r="E2" s="3">
        <v>2023</v>
      </c>
      <c r="F2" s="4" t="s">
        <v>16</v>
      </c>
      <c r="G2" s="3" t="s">
        <v>17</v>
      </c>
      <c r="J2" s="3" t="e">
        <f t="shared" ref="J2:J13" si="1">I2/H2 * 100</f>
        <v>#DIV/0!</v>
      </c>
      <c r="K2" s="10" t="s">
        <v>207</v>
      </c>
      <c r="L2" s="11" t="b">
        <v>0</v>
      </c>
    </row>
    <row r="3" spans="1:25" ht="15.75" customHeight="1">
      <c r="A3" s="3" t="str">
        <f t="shared" si="0"/>
        <v>R02</v>
      </c>
      <c r="B3" s="3" t="s">
        <v>13</v>
      </c>
      <c r="C3" s="3" t="s">
        <v>22</v>
      </c>
      <c r="D3" s="3" t="s">
        <v>23</v>
      </c>
      <c r="E3" s="3">
        <v>2024</v>
      </c>
      <c r="F3" s="4" t="s">
        <v>24</v>
      </c>
      <c r="G3" s="3" t="s">
        <v>17</v>
      </c>
      <c r="J3" s="3" t="e">
        <f t="shared" si="1"/>
        <v>#DIV/0!</v>
      </c>
      <c r="K3" s="10" t="s">
        <v>208</v>
      </c>
      <c r="L3" s="11" t="b">
        <v>0</v>
      </c>
    </row>
    <row r="4" spans="1:25" ht="15.75" customHeight="1">
      <c r="A4" s="3" t="str">
        <f t="shared" si="0"/>
        <v>R03</v>
      </c>
      <c r="B4" s="3" t="s">
        <v>13</v>
      </c>
      <c r="C4" s="3" t="s">
        <v>43</v>
      </c>
      <c r="D4" s="3" t="s">
        <v>44</v>
      </c>
      <c r="E4" s="3">
        <v>2020</v>
      </c>
      <c r="F4" s="4" t="s">
        <v>45</v>
      </c>
      <c r="G4" s="3" t="s">
        <v>17</v>
      </c>
      <c r="J4" s="3" t="e">
        <f t="shared" si="1"/>
        <v>#DIV/0!</v>
      </c>
      <c r="K4" s="10" t="s">
        <v>209</v>
      </c>
      <c r="L4" s="11" t="b">
        <v>0</v>
      </c>
    </row>
    <row r="5" spans="1:25" ht="15.75" customHeight="1">
      <c r="A5" s="3" t="str">
        <f t="shared" si="0"/>
        <v>R04</v>
      </c>
      <c r="B5" s="3" t="s">
        <v>13</v>
      </c>
      <c r="C5" s="3" t="s">
        <v>47</v>
      </c>
      <c r="D5" s="3" t="s">
        <v>48</v>
      </c>
      <c r="E5" s="3">
        <v>2021</v>
      </c>
      <c r="F5" s="4" t="s">
        <v>49</v>
      </c>
      <c r="G5" s="3" t="s">
        <v>17</v>
      </c>
      <c r="J5" s="3" t="e">
        <f t="shared" si="1"/>
        <v>#DIV/0!</v>
      </c>
      <c r="K5" s="10" t="s">
        <v>210</v>
      </c>
      <c r="L5" s="11" t="b">
        <v>0</v>
      </c>
    </row>
    <row r="6" spans="1:25" ht="15.75" customHeight="1">
      <c r="A6" s="3" t="str">
        <f t="shared" si="0"/>
        <v>R05</v>
      </c>
      <c r="B6" s="3" t="s">
        <v>13</v>
      </c>
      <c r="C6" s="3" t="s">
        <v>67</v>
      </c>
      <c r="D6" s="3" t="s">
        <v>68</v>
      </c>
      <c r="E6" s="3">
        <v>2020</v>
      </c>
      <c r="F6" s="4" t="s">
        <v>69</v>
      </c>
      <c r="G6" s="3" t="s">
        <v>17</v>
      </c>
      <c r="J6" s="3" t="e">
        <f t="shared" si="1"/>
        <v>#DIV/0!</v>
      </c>
      <c r="K6" s="10" t="s">
        <v>211</v>
      </c>
      <c r="L6" s="11" t="b">
        <v>0</v>
      </c>
    </row>
    <row r="7" spans="1:25" ht="15.75" customHeight="1">
      <c r="A7" s="3" t="str">
        <f t="shared" si="0"/>
        <v>R06</v>
      </c>
      <c r="B7" s="3" t="s">
        <v>13</v>
      </c>
      <c r="C7" s="3" t="s">
        <v>71</v>
      </c>
      <c r="D7" s="3" t="s">
        <v>72</v>
      </c>
      <c r="E7" s="3">
        <v>2020</v>
      </c>
      <c r="F7" s="4" t="s">
        <v>73</v>
      </c>
      <c r="G7" s="3" t="s">
        <v>17</v>
      </c>
      <c r="J7" s="3" t="e">
        <f t="shared" si="1"/>
        <v>#DIV/0!</v>
      </c>
      <c r="K7" s="10" t="s">
        <v>212</v>
      </c>
    </row>
    <row r="8" spans="1:25" ht="15.75" customHeight="1">
      <c r="A8" s="3" t="str">
        <f t="shared" si="0"/>
        <v>R07</v>
      </c>
      <c r="B8" s="3" t="s">
        <v>75</v>
      </c>
      <c r="C8" s="3" t="s">
        <v>76</v>
      </c>
      <c r="D8" s="3" t="s">
        <v>77</v>
      </c>
      <c r="E8" s="3">
        <v>2023</v>
      </c>
      <c r="F8" s="4" t="s">
        <v>78</v>
      </c>
      <c r="G8" s="3" t="s">
        <v>79</v>
      </c>
      <c r="J8" s="3" t="e">
        <f t="shared" si="1"/>
        <v>#DIV/0!</v>
      </c>
      <c r="K8" s="10" t="s">
        <v>213</v>
      </c>
      <c r="L8" s="11" t="b">
        <v>0</v>
      </c>
    </row>
    <row r="9" spans="1:25" ht="15.75" customHeight="1">
      <c r="A9" s="3" t="str">
        <f t="shared" si="0"/>
        <v>R08</v>
      </c>
      <c r="B9" s="3" t="s">
        <v>75</v>
      </c>
      <c r="C9" s="3" t="s">
        <v>101</v>
      </c>
      <c r="D9" s="3" t="s">
        <v>102</v>
      </c>
      <c r="E9" s="3">
        <v>2022</v>
      </c>
      <c r="F9" s="4" t="s">
        <v>103</v>
      </c>
      <c r="G9" s="3" t="s">
        <v>79</v>
      </c>
      <c r="J9" s="3" t="e">
        <f t="shared" si="1"/>
        <v>#DIV/0!</v>
      </c>
      <c r="K9" s="10" t="s">
        <v>214</v>
      </c>
      <c r="L9" s="11" t="b">
        <v>0</v>
      </c>
    </row>
    <row r="10" spans="1:25" ht="15.75" customHeight="1">
      <c r="A10" s="3" t="str">
        <f t="shared" si="0"/>
        <v>R09</v>
      </c>
      <c r="B10" s="3" t="s">
        <v>75</v>
      </c>
      <c r="C10" s="3" t="s">
        <v>134</v>
      </c>
      <c r="D10" s="3" t="s">
        <v>135</v>
      </c>
      <c r="E10" s="3">
        <v>2020</v>
      </c>
      <c r="F10" s="4" t="s">
        <v>136</v>
      </c>
      <c r="G10" s="3" t="s">
        <v>79</v>
      </c>
      <c r="J10" s="3" t="e">
        <f t="shared" si="1"/>
        <v>#DIV/0!</v>
      </c>
      <c r="K10" s="10" t="s">
        <v>215</v>
      </c>
      <c r="L10" s="11" t="b">
        <v>0</v>
      </c>
    </row>
    <row r="11" spans="1:25" ht="15.75" customHeight="1">
      <c r="A11" s="3" t="str">
        <f t="shared" si="0"/>
        <v>R10</v>
      </c>
      <c r="B11" s="3" t="s">
        <v>75</v>
      </c>
      <c r="C11" s="3" t="s">
        <v>151</v>
      </c>
      <c r="D11" s="3" t="s">
        <v>152</v>
      </c>
      <c r="E11" s="3">
        <v>2022</v>
      </c>
      <c r="F11" s="4" t="s">
        <v>153</v>
      </c>
      <c r="G11" s="3" t="s">
        <v>79</v>
      </c>
      <c r="J11" s="3" t="e">
        <f t="shared" si="1"/>
        <v>#DIV/0!</v>
      </c>
      <c r="K11" s="10" t="s">
        <v>216</v>
      </c>
      <c r="L11" s="11" t="b">
        <v>0</v>
      </c>
    </row>
    <row r="12" spans="1:25" ht="15.75" customHeight="1">
      <c r="A12" s="3" t="str">
        <f t="shared" si="0"/>
        <v>R11</v>
      </c>
      <c r="B12" s="3" t="s">
        <v>155</v>
      </c>
      <c r="C12" s="3" t="s">
        <v>176</v>
      </c>
      <c r="D12" s="3" t="s">
        <v>177</v>
      </c>
      <c r="E12" s="3">
        <v>2023</v>
      </c>
      <c r="F12" s="4" t="s">
        <v>178</v>
      </c>
      <c r="G12" s="3" t="s">
        <v>179</v>
      </c>
      <c r="J12" s="3" t="e">
        <f t="shared" si="1"/>
        <v>#DIV/0!</v>
      </c>
      <c r="K12" s="10" t="s">
        <v>217</v>
      </c>
      <c r="L12" s="11" t="b">
        <v>0</v>
      </c>
    </row>
    <row r="13" spans="1:25" ht="15.75" customHeight="1">
      <c r="A13" s="3" t="str">
        <f t="shared" si="0"/>
        <v>R12</v>
      </c>
      <c r="B13" s="3" t="s">
        <v>155</v>
      </c>
      <c r="C13" s="3" t="s">
        <v>197</v>
      </c>
      <c r="D13" s="3" t="s">
        <v>198</v>
      </c>
      <c r="E13" s="3">
        <v>2020</v>
      </c>
      <c r="F13" s="4" t="s">
        <v>199</v>
      </c>
      <c r="G13" s="3" t="s">
        <v>200</v>
      </c>
      <c r="J13" s="3" t="e">
        <f t="shared" si="1"/>
        <v>#DIV/0!</v>
      </c>
      <c r="K13" s="10" t="s">
        <v>218</v>
      </c>
      <c r="L13" s="11" t="b">
        <v>0</v>
      </c>
    </row>
    <row r="16" spans="1:25" ht="15.75" customHeight="1">
      <c r="B16" s="12"/>
      <c r="C16" s="12"/>
    </row>
    <row r="17" spans="2:8" ht="15.75" customHeight="1">
      <c r="B17" s="12"/>
      <c r="C17" s="12"/>
      <c r="D17" s="12"/>
    </row>
    <row r="18" spans="2:8" ht="15.75" customHeight="1">
      <c r="B18" s="12"/>
      <c r="C18" s="12"/>
      <c r="D18" s="12"/>
    </row>
    <row r="19" spans="2:8" ht="15.75" customHeight="1">
      <c r="B19" s="12"/>
      <c r="C19" s="12"/>
      <c r="D19" s="12"/>
      <c r="E19" s="12"/>
      <c r="F19" s="12"/>
      <c r="G19" s="12"/>
      <c r="H19" s="12"/>
    </row>
    <row r="20" spans="2:8" ht="15.75" customHeight="1">
      <c r="B20" s="2"/>
      <c r="C20" s="12"/>
      <c r="D20" s="12"/>
      <c r="E20" s="12"/>
      <c r="F20" s="12"/>
      <c r="G20" s="12"/>
      <c r="H20" s="12"/>
    </row>
    <row r="21" spans="2:8" ht="15.75" customHeight="1">
      <c r="B21" s="2"/>
      <c r="C21" s="12"/>
      <c r="D21" s="12"/>
      <c r="E21" s="12"/>
      <c r="F21" s="12"/>
      <c r="G21" s="12"/>
      <c r="H21" s="12"/>
    </row>
    <row r="22" spans="2:8" ht="12.5" customHeight="1">
      <c r="B22" s="2"/>
      <c r="C22" s="12"/>
      <c r="D22" s="12"/>
      <c r="E22" s="12"/>
      <c r="F22" s="12"/>
      <c r="G22" s="12"/>
      <c r="H22" s="12"/>
    </row>
    <row r="23" spans="2:8" ht="12.5" customHeight="1">
      <c r="B23" s="2"/>
      <c r="C23" s="12"/>
      <c r="D23" s="12"/>
      <c r="E23" s="12"/>
      <c r="F23" s="12"/>
      <c r="G23" s="12"/>
      <c r="H23" s="12"/>
    </row>
    <row r="24" spans="2:8" ht="12.5" customHeight="1">
      <c r="B24" s="2"/>
      <c r="C24" s="12"/>
      <c r="D24" s="12"/>
      <c r="E24" s="12"/>
      <c r="F24" s="12"/>
      <c r="G24" s="12"/>
      <c r="H24" s="12"/>
    </row>
    <row r="25" spans="2:8" ht="12.5" customHeight="1">
      <c r="B25" s="2"/>
      <c r="C25" s="12"/>
      <c r="D25" s="12"/>
      <c r="E25" s="12"/>
      <c r="F25" s="12"/>
      <c r="G25" s="12"/>
      <c r="H25" s="12"/>
    </row>
    <row r="26" spans="2:8" ht="12.5" customHeight="1">
      <c r="B26" s="2"/>
      <c r="C26" s="12"/>
      <c r="D26" s="12"/>
      <c r="E26" s="12"/>
      <c r="F26" s="12"/>
      <c r="G26" s="12"/>
      <c r="H26" s="12"/>
    </row>
    <row r="27" spans="2:8" ht="12.5" customHeight="1">
      <c r="B27" s="2"/>
      <c r="C27" s="12"/>
      <c r="D27" s="12"/>
      <c r="E27" s="12"/>
      <c r="F27" s="12"/>
      <c r="G27" s="12"/>
      <c r="H27" s="12"/>
    </row>
    <row r="28" spans="2:8" ht="12.5" customHeight="1">
      <c r="B28" s="2"/>
      <c r="C28" s="12"/>
      <c r="D28" s="12"/>
      <c r="E28" s="12"/>
      <c r="F28" s="12"/>
      <c r="G28" s="12"/>
      <c r="H28" s="12"/>
    </row>
    <row r="29" spans="2:8" ht="12.5" customHeight="1">
      <c r="B29" s="2"/>
      <c r="C29" s="12"/>
      <c r="D29" s="12"/>
      <c r="E29" s="12"/>
      <c r="F29" s="12"/>
      <c r="G29" s="12"/>
      <c r="H29" s="12"/>
    </row>
    <row r="30" spans="2:8" ht="12.5" customHeight="1">
      <c r="B30" s="2"/>
      <c r="C30" s="12"/>
      <c r="D30" s="12"/>
      <c r="E30" s="12"/>
      <c r="F30" s="12"/>
      <c r="G30" s="12"/>
      <c r="H30" s="12"/>
    </row>
    <row r="31" spans="2:8" ht="12.5" customHeight="1">
      <c r="B31" s="2"/>
      <c r="C31" s="12"/>
      <c r="D31" s="12"/>
      <c r="E31" s="12"/>
      <c r="F31" s="12"/>
      <c r="G31" s="12"/>
      <c r="H31" s="12"/>
    </row>
    <row r="32" spans="2:8" ht="12.5" customHeight="1">
      <c r="B32" s="2"/>
      <c r="C32" s="12"/>
      <c r="D32" s="12"/>
      <c r="E32" s="12"/>
      <c r="F32" s="12"/>
      <c r="G32" s="12"/>
      <c r="H32" s="12"/>
    </row>
    <row r="33" spans="2:8" ht="12.5" customHeight="1">
      <c r="B33" s="2"/>
      <c r="C33" s="12"/>
      <c r="D33" s="12"/>
      <c r="E33" s="12"/>
      <c r="F33" s="12"/>
      <c r="G33" s="12"/>
      <c r="H33" s="12"/>
    </row>
    <row r="34" spans="2:8" ht="12.5" customHeight="1">
      <c r="B34" s="2"/>
      <c r="C34" s="12"/>
      <c r="D34" s="12"/>
      <c r="E34" s="12"/>
      <c r="F34" s="12"/>
      <c r="G34" s="12"/>
      <c r="H34" s="12"/>
    </row>
    <row r="35" spans="2:8" ht="12.5" customHeight="1">
      <c r="B35" s="2"/>
      <c r="C35" s="12"/>
      <c r="D35" s="12"/>
      <c r="E35" s="12"/>
      <c r="F35" s="12"/>
      <c r="G35" s="12"/>
      <c r="H35" s="12"/>
    </row>
    <row r="36" spans="2:8" ht="12.5" customHeight="1">
      <c r="B36" s="2"/>
      <c r="C36" s="12"/>
      <c r="D36" s="12"/>
      <c r="E36" s="12"/>
      <c r="F36" s="12"/>
      <c r="G36" s="12"/>
      <c r="H36" s="12"/>
    </row>
    <row r="37" spans="2:8" ht="12.5" customHeight="1">
      <c r="B37" s="2"/>
      <c r="C37" s="12"/>
      <c r="D37" s="12"/>
      <c r="E37" s="12"/>
      <c r="F37" s="12"/>
      <c r="G37" s="12"/>
      <c r="H37" s="12"/>
    </row>
    <row r="38" spans="2:8" ht="12.5" customHeight="1">
      <c r="B38" s="2"/>
      <c r="C38" s="12"/>
      <c r="D38" s="12"/>
      <c r="E38" s="12"/>
      <c r="F38" s="12"/>
      <c r="G38" s="12"/>
      <c r="H38" s="12"/>
    </row>
    <row r="39" spans="2:8" ht="12.5" customHeight="1">
      <c r="B39" s="2"/>
      <c r="C39" s="12"/>
      <c r="D39" s="12"/>
      <c r="E39" s="12"/>
      <c r="F39" s="12"/>
      <c r="G39" s="12"/>
      <c r="H39" s="12"/>
    </row>
    <row r="40" spans="2:8" ht="12.5" customHeight="1">
      <c r="B40" s="2"/>
      <c r="C40" s="12"/>
      <c r="D40" s="12"/>
      <c r="E40" s="12"/>
      <c r="F40" s="12"/>
      <c r="G40" s="12"/>
      <c r="H40" s="12"/>
    </row>
    <row r="41" spans="2:8" ht="12.5" customHeight="1">
      <c r="B41" s="2"/>
      <c r="C41" s="12"/>
      <c r="D41" s="12"/>
      <c r="E41" s="12"/>
      <c r="F41" s="12"/>
      <c r="G41" s="12"/>
      <c r="H41" s="12"/>
    </row>
    <row r="42" spans="2:8" ht="12.5" customHeight="1">
      <c r="B42" s="2"/>
      <c r="C42" s="12"/>
      <c r="D42" s="12"/>
      <c r="E42" s="12"/>
      <c r="F42" s="12"/>
      <c r="G42" s="12"/>
      <c r="H42" s="12"/>
    </row>
    <row r="43" spans="2:8" ht="12.5" customHeight="1">
      <c r="B43" s="2"/>
      <c r="C43" s="12"/>
      <c r="D43" s="12"/>
      <c r="E43" s="12"/>
      <c r="F43" s="12"/>
      <c r="G43" s="12"/>
      <c r="H43" s="12"/>
    </row>
    <row r="44" spans="2:8" ht="12.5" customHeight="1">
      <c r="B44" s="2"/>
      <c r="C44" s="12"/>
      <c r="D44" s="12"/>
      <c r="E44" s="12"/>
      <c r="F44" s="12"/>
      <c r="G44" s="12"/>
      <c r="H44" s="12"/>
    </row>
    <row r="45" spans="2:8" ht="18" customHeight="1">
      <c r="B45" s="2"/>
      <c r="C45" s="12"/>
      <c r="D45" s="12"/>
      <c r="E45" s="12"/>
      <c r="F45" s="12"/>
      <c r="G45" s="13"/>
      <c r="H45" s="13"/>
    </row>
    <row r="46" spans="2:8" ht="18" customHeight="1">
      <c r="B46" s="2"/>
      <c r="C46" s="12"/>
      <c r="D46" s="12"/>
      <c r="E46" s="12"/>
      <c r="F46" s="12"/>
      <c r="G46" s="13"/>
      <c r="H46" s="13"/>
    </row>
    <row r="47" spans="2:8" ht="18" customHeight="1">
      <c r="B47" s="2"/>
      <c r="C47" s="12"/>
      <c r="D47" s="12"/>
      <c r="E47" s="12"/>
      <c r="F47" s="12"/>
      <c r="G47" s="13"/>
      <c r="H47" s="13"/>
    </row>
    <row r="48" spans="2:8" ht="18" customHeight="1">
      <c r="B48" s="2"/>
      <c r="C48" s="12"/>
      <c r="D48" s="12"/>
      <c r="E48" s="12"/>
      <c r="F48" s="12"/>
      <c r="G48" s="13"/>
      <c r="H48" s="13"/>
    </row>
    <row r="49" spans="2:8" ht="18" customHeight="1">
      <c r="B49" s="2"/>
      <c r="C49" s="12"/>
      <c r="D49" s="12"/>
      <c r="E49" s="12"/>
      <c r="F49" s="12"/>
      <c r="G49" s="13"/>
      <c r="H49" s="13"/>
    </row>
    <row r="50" spans="2:8" ht="18" customHeight="1">
      <c r="B50" s="2"/>
      <c r="C50" s="12"/>
      <c r="D50" s="12"/>
      <c r="E50" s="12"/>
      <c r="F50" s="12"/>
      <c r="G50" s="13"/>
      <c r="H50" s="13"/>
    </row>
    <row r="51" spans="2:8" ht="18" customHeight="1">
      <c r="B51" s="2"/>
      <c r="C51" s="12"/>
      <c r="D51" s="12"/>
      <c r="E51" s="12"/>
      <c r="F51" s="12"/>
      <c r="G51" s="13"/>
      <c r="H51" s="13"/>
    </row>
    <row r="52" spans="2:8" ht="18" customHeight="1">
      <c r="B52" s="2"/>
      <c r="C52" s="12"/>
      <c r="D52" s="12"/>
      <c r="E52" s="12"/>
      <c r="F52" s="12"/>
      <c r="G52" s="13"/>
      <c r="H52" s="13"/>
    </row>
    <row r="53" spans="2:8" ht="18" customHeight="1">
      <c r="B53" s="2"/>
      <c r="C53" s="12"/>
      <c r="D53" s="12"/>
      <c r="E53" s="12"/>
      <c r="F53" s="12"/>
      <c r="G53" s="13"/>
      <c r="H53" s="13"/>
    </row>
    <row r="54" spans="2:8" ht="18" customHeight="1">
      <c r="B54" s="2"/>
      <c r="C54" s="12"/>
      <c r="D54" s="12"/>
      <c r="E54" s="12"/>
      <c r="F54" s="12"/>
      <c r="G54" s="13"/>
      <c r="H54" s="13"/>
    </row>
    <row r="55" spans="2:8" ht="18" customHeight="1">
      <c r="B55" s="2"/>
      <c r="C55" s="12"/>
      <c r="D55" s="12"/>
      <c r="E55" s="12"/>
      <c r="F55" s="12"/>
      <c r="G55" s="13"/>
      <c r="H55" s="13"/>
    </row>
    <row r="56" spans="2:8" ht="18" customHeight="1">
      <c r="B56" s="2"/>
      <c r="C56" s="12"/>
      <c r="D56" s="12"/>
      <c r="E56" s="12"/>
      <c r="F56" s="12"/>
      <c r="G56" s="13"/>
      <c r="H56" s="13"/>
    </row>
    <row r="57" spans="2:8" ht="18" customHeight="1">
      <c r="B57" s="2"/>
      <c r="C57" s="12"/>
      <c r="D57" s="12"/>
      <c r="E57" s="12"/>
      <c r="F57" s="12"/>
      <c r="G57" s="13"/>
      <c r="H57" s="13"/>
    </row>
    <row r="58" spans="2:8" ht="18" customHeight="1">
      <c r="B58" s="2"/>
      <c r="C58" s="12"/>
      <c r="D58" s="12"/>
      <c r="E58" s="12"/>
      <c r="F58" s="12"/>
      <c r="G58" s="13"/>
      <c r="H58" s="13"/>
    </row>
    <row r="59" spans="2:8" ht="18" customHeight="1">
      <c r="B59" s="2"/>
      <c r="C59" s="12"/>
      <c r="D59" s="12"/>
      <c r="E59" s="12"/>
      <c r="F59" s="12"/>
      <c r="G59" s="13"/>
      <c r="H59" s="13"/>
    </row>
    <row r="60" spans="2:8" ht="18" customHeight="1">
      <c r="B60" s="2"/>
      <c r="C60" s="12"/>
      <c r="D60" s="12"/>
      <c r="E60" s="12"/>
      <c r="F60" s="12"/>
      <c r="G60" s="13"/>
      <c r="H60" s="13"/>
    </row>
    <row r="61" spans="2:8" ht="18" customHeight="1">
      <c r="B61" s="2"/>
      <c r="C61" s="12"/>
      <c r="D61" s="12"/>
      <c r="E61" s="12"/>
      <c r="F61" s="12"/>
      <c r="G61" s="13"/>
      <c r="H61" s="13"/>
    </row>
    <row r="62" spans="2:8" ht="18" customHeight="1">
      <c r="B62" s="12"/>
      <c r="C62" s="13"/>
      <c r="D62" s="13"/>
      <c r="E62" s="13"/>
      <c r="F62" s="13"/>
      <c r="G62" s="13"/>
      <c r="H62" s="13"/>
    </row>
    <row r="63" spans="2:8" ht="18" customHeight="1">
      <c r="B63" s="12"/>
      <c r="C63" s="13"/>
      <c r="D63" s="13"/>
      <c r="E63" s="13"/>
      <c r="F63" s="13"/>
      <c r="G63" s="13"/>
      <c r="H63" s="13"/>
    </row>
    <row r="64" spans="2:8" ht="18" customHeight="1">
      <c r="B64" s="14"/>
      <c r="C64" s="13"/>
      <c r="D64" s="13"/>
      <c r="E64" s="13"/>
      <c r="F64" s="13"/>
      <c r="G64" s="13"/>
      <c r="H64" s="13"/>
    </row>
    <row r="65" spans="2:8" ht="18" customHeight="1">
      <c r="B65" s="14"/>
      <c r="C65" s="13"/>
      <c r="D65" s="13"/>
      <c r="E65" s="13"/>
      <c r="F65" s="13"/>
      <c r="G65" s="13"/>
      <c r="H65" s="13"/>
    </row>
    <row r="66" spans="2:8" ht="18" customHeight="1">
      <c r="B66" s="14"/>
      <c r="C66" s="13"/>
      <c r="D66" s="13"/>
      <c r="E66" s="13"/>
      <c r="F66" s="13"/>
      <c r="G66" s="13"/>
      <c r="H66" s="13"/>
    </row>
    <row r="67" spans="2:8" ht="18" customHeight="1">
      <c r="B67" s="14"/>
      <c r="C67" s="13"/>
      <c r="D67" s="13"/>
      <c r="E67" s="13"/>
      <c r="F67" s="13"/>
      <c r="G67" s="13"/>
      <c r="H67" s="13"/>
    </row>
    <row r="68" spans="2:8" ht="18" customHeight="1">
      <c r="B68" s="14"/>
      <c r="C68" s="13"/>
      <c r="D68" s="13"/>
      <c r="E68" s="13"/>
      <c r="F68" s="13"/>
      <c r="G68" s="13"/>
      <c r="H68" s="13"/>
    </row>
    <row r="69" spans="2:8" ht="18" customHeight="1">
      <c r="B69" s="14"/>
      <c r="C69" s="13"/>
      <c r="D69" s="13"/>
      <c r="E69" s="13"/>
      <c r="F69" s="13"/>
      <c r="G69" s="13"/>
      <c r="H69" s="13"/>
    </row>
    <row r="70" spans="2:8" ht="18" customHeight="1">
      <c r="B70" s="14"/>
      <c r="C70" s="13"/>
      <c r="D70" s="13"/>
      <c r="E70" s="13"/>
      <c r="F70" s="13"/>
      <c r="G70" s="13"/>
      <c r="H70" s="13"/>
    </row>
    <row r="71" spans="2:8" ht="18" customHeight="1">
      <c r="B71" s="14"/>
      <c r="C71" s="13"/>
      <c r="D71" s="13"/>
      <c r="E71" s="13"/>
      <c r="F71" s="13"/>
      <c r="G71" s="13"/>
      <c r="H71" s="13"/>
    </row>
    <row r="72" spans="2:8" ht="18" customHeight="1">
      <c r="B72" s="13"/>
      <c r="C72" s="14"/>
      <c r="D72" s="13"/>
      <c r="E72" s="13"/>
      <c r="F72" s="13"/>
      <c r="G72" s="13"/>
      <c r="H72" s="13"/>
    </row>
    <row r="73" spans="2:8" ht="18" customHeight="1">
      <c r="B73" s="15"/>
      <c r="C73" s="13"/>
      <c r="D73" s="14"/>
      <c r="E73" s="13"/>
      <c r="F73" s="13"/>
      <c r="G73" s="13"/>
      <c r="H73" s="13"/>
    </row>
    <row r="74" spans="2:8" ht="18" customHeight="1">
      <c r="B74" s="15"/>
      <c r="C74" s="13"/>
      <c r="D74" s="14"/>
      <c r="E74" s="13"/>
      <c r="F74" s="13"/>
      <c r="G74" s="13"/>
      <c r="H74" s="13"/>
    </row>
    <row r="75" spans="2:8" ht="18" customHeight="1">
      <c r="B75" s="15"/>
      <c r="C75" s="15"/>
      <c r="D75" s="14"/>
      <c r="E75" s="13"/>
      <c r="F75" s="13"/>
      <c r="G75" s="13"/>
      <c r="H75" s="13"/>
    </row>
    <row r="76" spans="2:8" ht="18" customHeight="1">
      <c r="C76" s="16"/>
      <c r="D76" s="14"/>
      <c r="E76" s="13"/>
      <c r="F76" s="13"/>
      <c r="G76" s="13"/>
      <c r="H76" s="13"/>
    </row>
    <row r="77" spans="2:8" ht="18" customHeight="1">
      <c r="C77" s="16"/>
      <c r="D77" s="14"/>
      <c r="E77" s="13"/>
      <c r="F77" s="13"/>
      <c r="G77" s="13"/>
      <c r="H77" s="13"/>
    </row>
    <row r="78" spans="2:8" ht="18" customHeight="1">
      <c r="C78" s="16"/>
      <c r="D78" s="13"/>
      <c r="E78" s="13"/>
      <c r="F78" s="13"/>
      <c r="G78" s="13"/>
      <c r="H78" s="13"/>
    </row>
    <row r="79" spans="2:8" ht="18" customHeight="1">
      <c r="C79" s="16"/>
      <c r="D79" s="13"/>
      <c r="E79" s="13"/>
      <c r="F79" s="13"/>
      <c r="G79" s="13"/>
      <c r="H79" s="13"/>
    </row>
    <row r="80" spans="2:8" ht="18" customHeight="1">
      <c r="C80" s="16"/>
      <c r="D80" s="13"/>
      <c r="E80" s="13"/>
      <c r="F80" s="13"/>
      <c r="G80" s="13"/>
      <c r="H80" s="13"/>
    </row>
    <row r="81" spans="3:8" ht="18" customHeight="1">
      <c r="C81" s="16"/>
      <c r="D81" s="14"/>
      <c r="E81" s="13"/>
      <c r="F81" s="13"/>
      <c r="G81" s="13"/>
      <c r="H81" s="13"/>
    </row>
    <row r="82" spans="3:8" ht="18" customHeight="1">
      <c r="C82" s="16"/>
      <c r="D82" s="14"/>
      <c r="E82" s="13"/>
      <c r="F82" s="13"/>
      <c r="G82" s="13"/>
      <c r="H82" s="13"/>
    </row>
    <row r="83" spans="3:8" ht="18" customHeight="1">
      <c r="C83" s="16"/>
      <c r="D83" s="14"/>
      <c r="E83" s="13"/>
      <c r="F83" s="13"/>
      <c r="G83" s="13"/>
      <c r="H83" s="13"/>
    </row>
    <row r="84" spans="3:8" ht="18" customHeight="1">
      <c r="C84" s="16"/>
      <c r="D84" s="13"/>
      <c r="E84" s="13"/>
      <c r="F84" s="13"/>
      <c r="G84" s="13"/>
      <c r="H84" s="13"/>
    </row>
    <row r="85" spans="3:8" ht="18" customHeight="1">
      <c r="C85" s="16"/>
      <c r="D85" s="14"/>
      <c r="E85" s="13"/>
      <c r="F85" s="13"/>
      <c r="G85" s="13"/>
      <c r="H85" s="13"/>
    </row>
    <row r="86" spans="3:8" ht="18" customHeight="1">
      <c r="C86" s="16"/>
      <c r="D86" s="14"/>
      <c r="E86" s="13"/>
      <c r="F86" s="13"/>
      <c r="G86" s="13"/>
      <c r="H86" s="13"/>
    </row>
    <row r="87" spans="3:8" ht="18" customHeight="1">
      <c r="C87" s="16"/>
      <c r="D87" s="13"/>
      <c r="E87" s="13"/>
      <c r="F87" s="13"/>
      <c r="G87" s="13"/>
      <c r="H87" s="13"/>
    </row>
    <row r="88" spans="3:8" ht="18" customHeight="1">
      <c r="C88" s="16"/>
      <c r="D88" s="14"/>
      <c r="E88" s="13"/>
      <c r="F88" s="13"/>
      <c r="G88" s="13"/>
      <c r="H88" s="13"/>
    </row>
    <row r="89" spans="3:8" ht="18" customHeight="1">
      <c r="C89" s="16"/>
      <c r="D89" s="13"/>
      <c r="E89" s="13"/>
      <c r="F89" s="13"/>
      <c r="G89" s="13"/>
      <c r="H89" s="13"/>
    </row>
    <row r="90" spans="3:8" ht="18" customHeight="1">
      <c r="C90" s="16"/>
      <c r="D90" s="14"/>
      <c r="E90" s="13"/>
      <c r="F90" s="13"/>
      <c r="G90" s="13"/>
      <c r="H90" s="13"/>
    </row>
    <row r="91" spans="3:8" ht="18" customHeight="1">
      <c r="C91" s="16"/>
      <c r="D91" s="14"/>
      <c r="E91" s="13"/>
      <c r="F91" s="13"/>
      <c r="G91" s="13"/>
      <c r="H91" s="13"/>
    </row>
    <row r="92" spans="3:8" ht="18" customHeight="1">
      <c r="C92" s="16"/>
      <c r="D92" s="14"/>
      <c r="E92" s="13"/>
      <c r="F92" s="13"/>
      <c r="G92" s="13"/>
      <c r="H92" s="13"/>
    </row>
    <row r="93" spans="3:8" ht="18" customHeight="1">
      <c r="C93" s="16"/>
      <c r="D93" s="14"/>
      <c r="E93" s="13"/>
      <c r="F93" s="13"/>
      <c r="G93" s="13"/>
      <c r="H93" s="13"/>
    </row>
    <row r="94" spans="3:8" ht="18" customHeight="1">
      <c r="C94" s="16"/>
      <c r="D94" s="13"/>
      <c r="E94" s="13"/>
      <c r="F94" s="13"/>
      <c r="G94" s="13"/>
      <c r="H94" s="13"/>
    </row>
    <row r="95" spans="3:8" ht="18" customHeight="1">
      <c r="C95" s="16"/>
      <c r="D95" s="13"/>
      <c r="E95" s="13"/>
      <c r="F95" s="13"/>
      <c r="G95" s="13"/>
      <c r="H95" s="13"/>
    </row>
    <row r="96" spans="3:8" ht="18" customHeight="1">
      <c r="C96" s="16"/>
      <c r="D96" s="14"/>
      <c r="E96" s="13"/>
      <c r="F96" s="13"/>
      <c r="G96" s="13"/>
      <c r="H96" s="13"/>
    </row>
    <row r="97" spans="3:8" ht="18" customHeight="1">
      <c r="C97" s="16"/>
      <c r="D97" s="14"/>
      <c r="E97" s="13"/>
      <c r="F97" s="13"/>
      <c r="G97" s="13"/>
      <c r="H97" s="13"/>
    </row>
    <row r="98" spans="3:8" ht="18" customHeight="1">
      <c r="C98" s="16"/>
      <c r="D98" s="14"/>
      <c r="E98" s="13"/>
      <c r="F98" s="13"/>
      <c r="G98" s="13"/>
      <c r="H98" s="13"/>
    </row>
    <row r="99" spans="3:8" ht="18" customHeight="1">
      <c r="C99" s="16"/>
      <c r="D99" s="14"/>
      <c r="E99" s="13"/>
      <c r="F99" s="13"/>
      <c r="G99" s="13"/>
      <c r="H99" s="13"/>
    </row>
    <row r="100" spans="3:8" ht="18" customHeight="1">
      <c r="C100" s="16"/>
      <c r="D100" s="13"/>
      <c r="E100" s="13"/>
      <c r="F100" s="13"/>
      <c r="G100" s="13"/>
      <c r="H100" s="13"/>
    </row>
    <row r="101" spans="3:8" ht="18" customHeight="1">
      <c r="C101" s="16"/>
      <c r="D101" s="14"/>
      <c r="E101" s="13"/>
      <c r="F101" s="13"/>
      <c r="G101" s="13"/>
      <c r="H101" s="13"/>
    </row>
    <row r="102" spans="3:8" ht="18" customHeight="1">
      <c r="C102" s="15"/>
      <c r="D102" s="14"/>
      <c r="E102" s="13"/>
      <c r="F102" s="13"/>
      <c r="G102" s="13"/>
      <c r="H102" s="13"/>
    </row>
    <row r="103" spans="3:8" ht="18" customHeight="1">
      <c r="C103" s="16"/>
      <c r="D103" s="14"/>
      <c r="E103" s="13"/>
      <c r="F103" s="13"/>
      <c r="G103" s="13"/>
      <c r="H103" s="13"/>
    </row>
    <row r="104" spans="3:8" ht="18" customHeight="1">
      <c r="C104" s="16"/>
      <c r="D104" s="13"/>
      <c r="E104" s="13"/>
      <c r="F104" s="13"/>
      <c r="G104" s="13"/>
      <c r="H104" s="13"/>
    </row>
    <row r="105" spans="3:8" ht="18" customHeight="1">
      <c r="C105" s="15"/>
      <c r="D105" s="13"/>
      <c r="E105" s="13"/>
      <c r="F105" s="13"/>
      <c r="G105" s="13"/>
      <c r="H105" s="13"/>
    </row>
    <row r="106" spans="3:8" ht="18" customHeight="1">
      <c r="C106" s="16"/>
      <c r="D106" s="13"/>
      <c r="E106" s="13"/>
      <c r="F106" s="13"/>
      <c r="G106" s="13"/>
      <c r="H106" s="13"/>
    </row>
    <row r="107" spans="3:8" ht="18" customHeight="1">
      <c r="C107" s="15"/>
      <c r="D107" s="13"/>
      <c r="E107" s="15"/>
      <c r="F107" s="15"/>
      <c r="G107" s="15"/>
    </row>
    <row r="108" spans="3:8" ht="18" customHeight="1">
      <c r="C108" s="16"/>
      <c r="D108" s="13"/>
      <c r="E108" s="15"/>
      <c r="F108" s="15"/>
      <c r="G108" s="15"/>
    </row>
    <row r="109" spans="3:8" ht="17.5" customHeight="1">
      <c r="C109" s="16"/>
      <c r="D109" s="15"/>
      <c r="E109" s="15"/>
      <c r="F109" s="15"/>
      <c r="G109" s="15"/>
    </row>
    <row r="110" spans="3:8" ht="17.5" customHeight="1">
      <c r="C110" s="16"/>
      <c r="D110" s="15"/>
      <c r="E110" s="15"/>
      <c r="F110" s="15"/>
      <c r="G110" s="15"/>
    </row>
    <row r="111" spans="3:8" ht="17.5" customHeight="1">
      <c r="C111" s="16"/>
      <c r="D111" s="15"/>
      <c r="E111" s="15"/>
      <c r="F111" s="15"/>
      <c r="G111" s="15"/>
    </row>
    <row r="112" spans="3:8" ht="17.5" customHeight="1">
      <c r="C112" s="16"/>
      <c r="D112" s="15"/>
      <c r="E112" s="15"/>
      <c r="F112" s="15"/>
      <c r="G112" s="15"/>
    </row>
    <row r="113" spans="3:7" ht="17.5" customHeight="1">
      <c r="C113" s="16"/>
      <c r="D113" s="15"/>
      <c r="E113" s="15"/>
      <c r="F113" s="15"/>
      <c r="G113" s="15"/>
    </row>
    <row r="114" spans="3:7" ht="17.5" customHeight="1">
      <c r="C114" s="16"/>
      <c r="D114" s="15"/>
      <c r="E114" s="15"/>
      <c r="F114" s="15"/>
      <c r="G114" s="15"/>
    </row>
    <row r="115" spans="3:7" ht="17.5" customHeight="1">
      <c r="C115" s="16"/>
      <c r="D115" s="15"/>
      <c r="E115" s="15"/>
      <c r="F115" s="15"/>
      <c r="G115" s="15"/>
    </row>
    <row r="116" spans="3:7" ht="17.5" customHeight="1">
      <c r="C116" s="16"/>
      <c r="D116" s="15"/>
      <c r="E116" s="15"/>
      <c r="F116" s="15"/>
      <c r="G116" s="15"/>
    </row>
    <row r="117" spans="3:7" ht="17.5" customHeight="1">
      <c r="C117" s="16"/>
      <c r="D117" s="15"/>
      <c r="E117" s="15"/>
      <c r="F117" s="15"/>
      <c r="G117" s="15"/>
    </row>
    <row r="118" spans="3:7" ht="17.5" customHeight="1">
      <c r="C118" s="16"/>
      <c r="D118" s="15"/>
      <c r="E118" s="15"/>
      <c r="F118" s="15"/>
      <c r="G118" s="15"/>
    </row>
    <row r="119" spans="3:7" ht="17.5" customHeight="1">
      <c r="C119" s="16"/>
      <c r="D119" s="15"/>
      <c r="E119" s="15"/>
      <c r="F119" s="15"/>
      <c r="G119" s="15"/>
    </row>
    <row r="120" spans="3:7" ht="17.5" customHeight="1">
      <c r="C120" s="16"/>
      <c r="D120" s="15"/>
      <c r="E120" s="15"/>
      <c r="F120" s="15"/>
      <c r="G120" s="15"/>
    </row>
    <row r="121" spans="3:7" ht="17.5" customHeight="1">
      <c r="C121" s="16"/>
      <c r="D121" s="15"/>
      <c r="E121" s="15"/>
      <c r="F121" s="15"/>
      <c r="G121" s="15"/>
    </row>
    <row r="122" spans="3:7" ht="17.5" customHeight="1">
      <c r="C122" s="16"/>
      <c r="D122" s="15"/>
      <c r="E122" s="15"/>
      <c r="F122" s="15"/>
      <c r="G122" s="15"/>
    </row>
    <row r="123" spans="3:7" ht="17.5" customHeight="1">
      <c r="C123" s="16"/>
      <c r="D123" s="15"/>
      <c r="E123" s="15"/>
      <c r="F123" s="15"/>
      <c r="G123" s="15"/>
    </row>
    <row r="124" spans="3:7" ht="17.5" customHeight="1">
      <c r="C124" s="16"/>
      <c r="D124" s="15"/>
      <c r="E124" s="15"/>
      <c r="F124" s="15"/>
      <c r="G124" s="15"/>
    </row>
    <row r="125" spans="3:7" ht="17.5" customHeight="1">
      <c r="C125" s="16"/>
      <c r="D125" s="15"/>
      <c r="E125" s="15"/>
      <c r="F125" s="15"/>
      <c r="G125" s="15"/>
    </row>
    <row r="126" spans="3:7" ht="17.5" customHeight="1">
      <c r="C126" s="16"/>
      <c r="D126" s="15"/>
      <c r="E126" s="15"/>
      <c r="F126" s="15"/>
      <c r="G126" s="15"/>
    </row>
    <row r="127" spans="3:7" ht="17.5" customHeight="1">
      <c r="C127" s="16"/>
      <c r="D127" s="15"/>
      <c r="E127" s="15"/>
      <c r="F127" s="15"/>
      <c r="G127" s="15"/>
    </row>
    <row r="128" spans="3:7" ht="17.5" customHeight="1">
      <c r="C128" s="16"/>
      <c r="D128" s="15"/>
      <c r="E128" s="15"/>
      <c r="F128" s="15"/>
      <c r="G128" s="15"/>
    </row>
    <row r="129" spans="3:7" ht="17.5" customHeight="1">
      <c r="C129" s="16"/>
      <c r="D129" s="15"/>
      <c r="E129" s="15"/>
      <c r="F129" s="15"/>
      <c r="G129" s="15"/>
    </row>
    <row r="130" spans="3:7" ht="17.5" customHeight="1">
      <c r="C130" s="16"/>
      <c r="D130" s="15"/>
      <c r="E130" s="15"/>
      <c r="F130" s="15"/>
      <c r="G130" s="15"/>
    </row>
    <row r="131" spans="3:7" ht="17.5" customHeight="1">
      <c r="C131" s="16"/>
      <c r="D131" s="15"/>
      <c r="E131" s="15"/>
      <c r="F131" s="15"/>
      <c r="G131" s="15"/>
    </row>
    <row r="132" spans="3:7" ht="17.5" customHeight="1">
      <c r="C132" s="16"/>
      <c r="D132" s="15"/>
      <c r="E132" s="15"/>
      <c r="F132" s="15"/>
      <c r="G132" s="15"/>
    </row>
    <row r="133" spans="3:7" ht="17.5" customHeight="1">
      <c r="C133" s="16"/>
      <c r="D133" s="15"/>
      <c r="E133" s="15"/>
      <c r="F133" s="15"/>
      <c r="G133" s="15"/>
    </row>
    <row r="134" spans="3:7" ht="17.5" customHeight="1">
      <c r="C134" s="16"/>
      <c r="D134" s="15"/>
      <c r="E134" s="15"/>
      <c r="F134" s="15"/>
      <c r="G134" s="15"/>
    </row>
    <row r="135" spans="3:7" ht="17.5" customHeight="1">
      <c r="C135" s="16"/>
      <c r="D135" s="15"/>
      <c r="E135" s="15"/>
      <c r="F135" s="15"/>
      <c r="G135" s="15"/>
    </row>
    <row r="136" spans="3:7" ht="17.5" customHeight="1">
      <c r="C136" s="16"/>
      <c r="D136" s="15"/>
      <c r="E136" s="15"/>
      <c r="F136" s="15"/>
      <c r="G136" s="15"/>
    </row>
    <row r="137" spans="3:7" ht="17.5" customHeight="1">
      <c r="C137" s="16"/>
      <c r="D137" s="15"/>
      <c r="E137" s="15"/>
      <c r="F137" s="15"/>
      <c r="G137" s="15"/>
    </row>
    <row r="138" spans="3:7" ht="17.5" customHeight="1">
      <c r="C138" s="16"/>
      <c r="D138" s="15"/>
      <c r="E138" s="15"/>
      <c r="F138" s="15"/>
      <c r="G138" s="15"/>
    </row>
    <row r="139" spans="3:7" ht="17.5" customHeight="1">
      <c r="C139" s="15"/>
    </row>
    <row r="140" spans="3:7" ht="17.5" customHeight="1">
      <c r="C140" s="15"/>
    </row>
  </sheetData>
  <conditionalFormatting sqref="J2:J13">
    <cfRule type="cellIs" dxfId="0" priority="1" operator="lessThan">
      <formula>70</formula>
    </cfRule>
  </conditionalFormatting>
  <hyperlinks>
    <hyperlink ref="F2" r:id="rId1" xr:uid="{00000000-0004-0000-0100-000000000000}"/>
    <hyperlink ref="K2" r:id="rId2" xr:uid="{00000000-0004-0000-0100-000001000000}"/>
    <hyperlink ref="F3" r:id="rId3" xr:uid="{00000000-0004-0000-0100-000002000000}"/>
    <hyperlink ref="K3" r:id="rId4" xr:uid="{00000000-0004-0000-0100-000003000000}"/>
    <hyperlink ref="F4" r:id="rId5" xr:uid="{00000000-0004-0000-0100-000004000000}"/>
    <hyperlink ref="K4" r:id="rId6" xr:uid="{00000000-0004-0000-0100-000005000000}"/>
    <hyperlink ref="F5" r:id="rId7" xr:uid="{00000000-0004-0000-0100-000006000000}"/>
    <hyperlink ref="K5" r:id="rId8" xr:uid="{00000000-0004-0000-0100-000007000000}"/>
    <hyperlink ref="F6" r:id="rId9" xr:uid="{00000000-0004-0000-0100-000008000000}"/>
    <hyperlink ref="K6" r:id="rId10" xr:uid="{00000000-0004-0000-0100-000009000000}"/>
    <hyperlink ref="F7" r:id="rId11" xr:uid="{00000000-0004-0000-0100-00000A000000}"/>
    <hyperlink ref="K7" r:id="rId12" xr:uid="{00000000-0004-0000-0100-00000B000000}"/>
    <hyperlink ref="F8" r:id="rId13" xr:uid="{00000000-0004-0000-0100-00000C000000}"/>
    <hyperlink ref="K8" r:id="rId14" xr:uid="{00000000-0004-0000-0100-00000D000000}"/>
    <hyperlink ref="F9" r:id="rId15" xr:uid="{00000000-0004-0000-0100-00000E000000}"/>
    <hyperlink ref="K9" r:id="rId16" xr:uid="{00000000-0004-0000-0100-00000F000000}"/>
    <hyperlink ref="F10" r:id="rId17" xr:uid="{00000000-0004-0000-0100-000010000000}"/>
    <hyperlink ref="K10" r:id="rId18" xr:uid="{00000000-0004-0000-0100-000011000000}"/>
    <hyperlink ref="F11" r:id="rId19" xr:uid="{00000000-0004-0000-0100-000012000000}"/>
    <hyperlink ref="K11" r:id="rId20" xr:uid="{00000000-0004-0000-0100-000013000000}"/>
    <hyperlink ref="F12" r:id="rId21" xr:uid="{00000000-0004-0000-0100-000014000000}"/>
    <hyperlink ref="K12" r:id="rId22" xr:uid="{00000000-0004-0000-0100-000015000000}"/>
    <hyperlink ref="F13" r:id="rId23" xr:uid="{00000000-0004-0000-0100-000016000000}"/>
    <hyperlink ref="K13" r:id="rId24" xr:uid="{00000000-0004-0000-0100-000017000000}"/>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107"/>
  <sheetViews>
    <sheetView topLeftCell="D217" workbookViewId="0">
      <selection activeCell="H220" sqref="H220"/>
    </sheetView>
  </sheetViews>
  <sheetFormatPr defaultColWidth="10.90625" defaultRowHeight="12.5"/>
  <cols>
    <col min="1" max="1" width="6.90625" customWidth="1"/>
    <col min="4" max="4" width="88.90625" customWidth="1"/>
    <col min="5" max="5" width="26.7265625" customWidth="1"/>
  </cols>
  <sheetData>
    <row r="1" spans="1:28" ht="13" customHeight="1">
      <c r="A1" s="17" t="s">
        <v>219</v>
      </c>
      <c r="B1" s="17" t="s">
        <v>220</v>
      </c>
      <c r="C1" s="17" t="s">
        <v>201</v>
      </c>
      <c r="D1" s="17" t="s">
        <v>5</v>
      </c>
      <c r="E1" s="17" t="s">
        <v>2</v>
      </c>
      <c r="F1" s="17" t="s">
        <v>3</v>
      </c>
      <c r="G1" s="17" t="s">
        <v>4</v>
      </c>
      <c r="H1" s="17" t="s">
        <v>6</v>
      </c>
      <c r="I1" s="17" t="s">
        <v>221</v>
      </c>
      <c r="J1" s="17" t="s">
        <v>222</v>
      </c>
      <c r="K1" s="17" t="s">
        <v>223</v>
      </c>
      <c r="L1" s="17" t="s">
        <v>9</v>
      </c>
      <c r="M1" s="18"/>
      <c r="N1" s="18"/>
      <c r="O1" s="18"/>
      <c r="P1" s="18"/>
      <c r="Q1" s="18"/>
      <c r="R1" s="18"/>
      <c r="S1" s="18"/>
      <c r="T1" s="18"/>
      <c r="U1" s="18"/>
      <c r="V1" s="18"/>
      <c r="W1" s="18"/>
      <c r="X1" s="18"/>
      <c r="Y1" s="18"/>
      <c r="Z1" s="18"/>
      <c r="AA1" s="18"/>
      <c r="AB1" s="18"/>
    </row>
    <row r="2" spans="1:28" ht="15.75" customHeight="1">
      <c r="A2" s="19">
        <v>1</v>
      </c>
      <c r="B2" s="20" t="s">
        <v>224</v>
      </c>
      <c r="C2" s="20" t="s">
        <v>225</v>
      </c>
      <c r="D2" s="21" t="s">
        <v>226</v>
      </c>
      <c r="E2" s="20" t="s">
        <v>227</v>
      </c>
      <c r="F2" s="20" t="s">
        <v>228</v>
      </c>
      <c r="G2" s="20">
        <v>2022</v>
      </c>
      <c r="H2" s="20" t="s">
        <v>229</v>
      </c>
      <c r="I2" s="20" t="str">
        <f t="shared" ref="I2:I251" si="0">IF(G2="","",
  IF(G2&lt;=PERCENTILE(IF($C:$C=C2,$G:$G),0.33),"Early",
    IF(G2&lt;=PERCENTILE(IF($C:$C=C2,$G:$G),0.67),"Middle","Recent")))</f>
        <v>Recent</v>
      </c>
      <c r="J2" s="20"/>
      <c r="K2" s="20"/>
      <c r="L2" s="20"/>
      <c r="M2" s="18"/>
      <c r="N2" s="18"/>
      <c r="O2" s="18"/>
      <c r="P2" s="18"/>
      <c r="Q2" s="18"/>
      <c r="R2" s="18"/>
      <c r="S2" s="18"/>
      <c r="T2" s="18"/>
      <c r="U2" s="18"/>
      <c r="V2" s="18"/>
      <c r="W2" s="18"/>
      <c r="X2" s="18"/>
      <c r="Y2" s="18"/>
      <c r="Z2" s="18"/>
      <c r="AA2" s="18"/>
      <c r="AB2" s="18"/>
    </row>
    <row r="3" spans="1:28" ht="15.75" customHeight="1">
      <c r="A3" s="19">
        <v>2</v>
      </c>
      <c r="B3" s="20" t="s">
        <v>230</v>
      </c>
      <c r="C3" s="20" t="s">
        <v>225</v>
      </c>
      <c r="D3" s="21" t="s">
        <v>231</v>
      </c>
      <c r="E3" s="20" t="s">
        <v>232</v>
      </c>
      <c r="F3" s="20" t="s">
        <v>233</v>
      </c>
      <c r="G3" s="20">
        <v>2011</v>
      </c>
      <c r="H3" s="20" t="s">
        <v>234</v>
      </c>
      <c r="I3" s="20" t="str">
        <f t="shared" si="0"/>
        <v>Middle</v>
      </c>
      <c r="J3" s="20"/>
      <c r="K3" s="20"/>
      <c r="L3" s="20"/>
      <c r="M3" s="18"/>
      <c r="N3" s="18"/>
      <c r="O3" s="18"/>
      <c r="P3" s="18"/>
      <c r="Q3" s="18"/>
      <c r="R3" s="18"/>
      <c r="S3" s="18"/>
      <c r="T3" s="18"/>
      <c r="U3" s="18"/>
      <c r="V3" s="18"/>
      <c r="W3" s="18"/>
      <c r="X3" s="18"/>
      <c r="Y3" s="18"/>
      <c r="Z3" s="18"/>
      <c r="AA3" s="18"/>
      <c r="AB3" s="18"/>
    </row>
    <row r="4" spans="1:28" ht="15.75" customHeight="1">
      <c r="A4" s="19">
        <v>3</v>
      </c>
      <c r="B4" s="20" t="s">
        <v>235</v>
      </c>
      <c r="C4" s="20" t="s">
        <v>225</v>
      </c>
      <c r="D4" s="21" t="s">
        <v>236</v>
      </c>
      <c r="E4" s="20" t="s">
        <v>237</v>
      </c>
      <c r="F4" s="20" t="s">
        <v>238</v>
      </c>
      <c r="G4" s="20">
        <v>2020</v>
      </c>
      <c r="H4" s="20" t="s">
        <v>239</v>
      </c>
      <c r="I4" s="20" t="str">
        <f t="shared" si="0"/>
        <v>Recent</v>
      </c>
      <c r="J4" s="20"/>
      <c r="K4" s="20"/>
      <c r="L4" s="20"/>
      <c r="M4" s="18"/>
      <c r="N4" s="18"/>
      <c r="O4" s="18"/>
      <c r="P4" s="18"/>
      <c r="Q4" s="18"/>
      <c r="R4" s="18"/>
      <c r="S4" s="18"/>
      <c r="T4" s="18"/>
      <c r="U4" s="18"/>
      <c r="V4" s="18"/>
      <c r="W4" s="18"/>
      <c r="X4" s="18"/>
      <c r="Y4" s="18"/>
      <c r="Z4" s="18"/>
      <c r="AA4" s="18"/>
      <c r="AB4" s="18"/>
    </row>
    <row r="5" spans="1:28" ht="15.75" customHeight="1">
      <c r="A5" s="19">
        <v>4</v>
      </c>
      <c r="B5" s="20" t="s">
        <v>240</v>
      </c>
      <c r="C5" s="20" t="s">
        <v>225</v>
      </c>
      <c r="D5" s="4" t="s">
        <v>241</v>
      </c>
      <c r="E5" s="20" t="s">
        <v>242</v>
      </c>
      <c r="F5" s="20" t="s">
        <v>243</v>
      </c>
      <c r="G5" s="20">
        <v>2017</v>
      </c>
      <c r="H5" s="20" t="s">
        <v>244</v>
      </c>
      <c r="I5" s="20" t="str">
        <f t="shared" si="0"/>
        <v>Middle</v>
      </c>
      <c r="J5" s="20"/>
      <c r="K5" s="20"/>
      <c r="L5" s="20"/>
      <c r="M5" s="18"/>
      <c r="N5" s="18"/>
      <c r="O5" s="18"/>
      <c r="P5" s="18"/>
      <c r="Q5" s="18"/>
      <c r="R5" s="18"/>
      <c r="S5" s="18"/>
      <c r="T5" s="18"/>
      <c r="U5" s="18"/>
      <c r="V5" s="18"/>
      <c r="W5" s="18"/>
      <c r="X5" s="18"/>
      <c r="Y5" s="18"/>
      <c r="Z5" s="18"/>
      <c r="AA5" s="18"/>
      <c r="AB5" s="18"/>
    </row>
    <row r="6" spans="1:28" ht="15.75" customHeight="1">
      <c r="A6" s="19">
        <v>5</v>
      </c>
      <c r="B6" s="20" t="s">
        <v>245</v>
      </c>
      <c r="C6" s="20" t="s">
        <v>225</v>
      </c>
      <c r="D6" s="21" t="s">
        <v>246</v>
      </c>
      <c r="E6" s="20" t="s">
        <v>247</v>
      </c>
      <c r="F6" s="20" t="s">
        <v>248</v>
      </c>
      <c r="G6" s="20">
        <v>2014</v>
      </c>
      <c r="H6" s="20" t="s">
        <v>249</v>
      </c>
      <c r="I6" s="20" t="str">
        <f t="shared" si="0"/>
        <v>Middle</v>
      </c>
      <c r="J6" s="20"/>
      <c r="K6" s="20"/>
      <c r="L6" s="20"/>
      <c r="M6" s="18"/>
      <c r="N6" s="18"/>
      <c r="O6" s="18"/>
      <c r="P6" s="18"/>
      <c r="Q6" s="18"/>
      <c r="R6" s="18"/>
      <c r="S6" s="18"/>
      <c r="T6" s="18"/>
      <c r="U6" s="18"/>
      <c r="V6" s="18"/>
      <c r="W6" s="18"/>
      <c r="X6" s="18"/>
      <c r="Y6" s="18"/>
      <c r="Z6" s="18"/>
      <c r="AA6" s="18"/>
      <c r="AB6" s="18"/>
    </row>
    <row r="7" spans="1:28" ht="15.75" customHeight="1">
      <c r="A7" s="19">
        <v>6</v>
      </c>
      <c r="B7" s="20" t="s">
        <v>250</v>
      </c>
      <c r="C7" s="20" t="s">
        <v>225</v>
      </c>
      <c r="D7" s="21" t="s">
        <v>251</v>
      </c>
      <c r="E7" s="20" t="s">
        <v>252</v>
      </c>
      <c r="F7" s="20" t="s">
        <v>253</v>
      </c>
      <c r="G7" s="20">
        <v>2021</v>
      </c>
      <c r="H7" s="20" t="s">
        <v>254</v>
      </c>
      <c r="I7" s="20" t="str">
        <f t="shared" si="0"/>
        <v>Recent</v>
      </c>
      <c r="J7" s="20"/>
      <c r="K7" s="20"/>
      <c r="L7" s="20"/>
      <c r="M7" s="18"/>
      <c r="N7" s="18"/>
      <c r="O7" s="18"/>
      <c r="P7" s="18"/>
      <c r="Q7" s="18"/>
      <c r="R7" s="18"/>
      <c r="S7" s="18"/>
      <c r="T7" s="18"/>
      <c r="U7" s="18"/>
      <c r="V7" s="18"/>
      <c r="W7" s="18"/>
      <c r="X7" s="18"/>
      <c r="Y7" s="18"/>
      <c r="Z7" s="18"/>
      <c r="AA7" s="18"/>
      <c r="AB7" s="18"/>
    </row>
    <row r="8" spans="1:28" ht="15.75" customHeight="1">
      <c r="A8" s="19">
        <v>7</v>
      </c>
      <c r="B8" s="20" t="s">
        <v>255</v>
      </c>
      <c r="C8" s="20" t="s">
        <v>225</v>
      </c>
      <c r="D8" s="21" t="s">
        <v>256</v>
      </c>
      <c r="E8" s="20" t="s">
        <v>257</v>
      </c>
      <c r="F8" s="20" t="s">
        <v>258</v>
      </c>
      <c r="G8" s="20">
        <v>2014</v>
      </c>
      <c r="H8" s="20" t="s">
        <v>259</v>
      </c>
      <c r="I8" s="20" t="str">
        <f t="shared" si="0"/>
        <v>Middle</v>
      </c>
      <c r="J8" s="20"/>
      <c r="K8" s="20"/>
      <c r="L8" s="20"/>
      <c r="M8" s="18"/>
      <c r="N8" s="18"/>
      <c r="O8" s="18"/>
      <c r="P8" s="18"/>
      <c r="Q8" s="18"/>
      <c r="R8" s="18"/>
      <c r="S8" s="18"/>
      <c r="T8" s="18"/>
      <c r="U8" s="18"/>
      <c r="V8" s="18"/>
      <c r="W8" s="18"/>
      <c r="X8" s="18"/>
      <c r="Y8" s="18"/>
      <c r="Z8" s="18"/>
      <c r="AA8" s="18"/>
      <c r="AB8" s="18"/>
    </row>
    <row r="9" spans="1:28" ht="15.75" customHeight="1">
      <c r="A9" s="19">
        <v>8</v>
      </c>
      <c r="B9" s="20" t="s">
        <v>260</v>
      </c>
      <c r="C9" s="20" t="s">
        <v>225</v>
      </c>
      <c r="D9" s="21" t="s">
        <v>261</v>
      </c>
      <c r="E9" s="20" t="s">
        <v>262</v>
      </c>
      <c r="F9" s="20" t="s">
        <v>263</v>
      </c>
      <c r="G9" s="20">
        <v>2005</v>
      </c>
      <c r="H9" s="20" t="s">
        <v>264</v>
      </c>
      <c r="I9" s="20" t="str">
        <f t="shared" si="0"/>
        <v>Early</v>
      </c>
      <c r="J9" s="20"/>
      <c r="K9" s="20"/>
      <c r="L9" s="20"/>
      <c r="M9" s="18"/>
      <c r="N9" s="18"/>
      <c r="O9" s="18"/>
      <c r="P9" s="18"/>
      <c r="Q9" s="18"/>
      <c r="R9" s="18"/>
      <c r="S9" s="18"/>
      <c r="T9" s="18"/>
      <c r="U9" s="18"/>
      <c r="V9" s="18"/>
      <c r="W9" s="18"/>
      <c r="X9" s="18"/>
      <c r="Y9" s="18"/>
      <c r="Z9" s="18"/>
      <c r="AA9" s="18"/>
      <c r="AB9" s="18"/>
    </row>
    <row r="10" spans="1:28" ht="15.75" customHeight="1">
      <c r="A10" s="19">
        <v>9</v>
      </c>
      <c r="B10" s="20" t="s">
        <v>265</v>
      </c>
      <c r="C10" s="20" t="s">
        <v>225</v>
      </c>
      <c r="D10" s="21" t="s">
        <v>266</v>
      </c>
      <c r="E10" s="20" t="s">
        <v>267</v>
      </c>
      <c r="F10" s="20" t="s">
        <v>263</v>
      </c>
      <c r="G10" s="20">
        <v>2019</v>
      </c>
      <c r="H10" s="20" t="s">
        <v>268</v>
      </c>
      <c r="I10" s="20" t="str">
        <f t="shared" si="0"/>
        <v>Recent</v>
      </c>
      <c r="J10" s="20"/>
      <c r="K10" s="20"/>
      <c r="L10" s="20"/>
      <c r="M10" s="18"/>
      <c r="N10" s="18"/>
      <c r="O10" s="18"/>
      <c r="P10" s="18"/>
      <c r="Q10" s="18"/>
      <c r="R10" s="18"/>
      <c r="S10" s="18"/>
      <c r="T10" s="18"/>
      <c r="U10" s="18"/>
      <c r="V10" s="18"/>
      <c r="W10" s="18"/>
      <c r="X10" s="18"/>
      <c r="Y10" s="18"/>
      <c r="Z10" s="18"/>
      <c r="AA10" s="18"/>
      <c r="AB10" s="18"/>
    </row>
    <row r="11" spans="1:28" ht="15.75" customHeight="1">
      <c r="A11" s="19">
        <v>10</v>
      </c>
      <c r="B11" s="20" t="s">
        <v>269</v>
      </c>
      <c r="C11" s="20" t="s">
        <v>225</v>
      </c>
      <c r="D11" s="21" t="s">
        <v>270</v>
      </c>
      <c r="E11" s="20" t="s">
        <v>271</v>
      </c>
      <c r="F11" s="20" t="s">
        <v>272</v>
      </c>
      <c r="G11" s="20">
        <v>2019</v>
      </c>
      <c r="H11" s="20" t="s">
        <v>273</v>
      </c>
      <c r="I11" s="20" t="str">
        <f t="shared" si="0"/>
        <v>Recent</v>
      </c>
      <c r="J11" s="20"/>
      <c r="K11" s="20"/>
      <c r="L11" s="20"/>
      <c r="M11" s="18"/>
      <c r="N11" s="18"/>
      <c r="O11" s="18"/>
      <c r="P11" s="18"/>
      <c r="Q11" s="18"/>
      <c r="R11" s="18"/>
      <c r="S11" s="18"/>
      <c r="T11" s="18"/>
      <c r="U11" s="18"/>
      <c r="V11" s="18"/>
      <c r="W11" s="18"/>
      <c r="X11" s="18"/>
      <c r="Y11" s="18"/>
      <c r="Z11" s="18"/>
      <c r="AA11" s="18"/>
      <c r="AB11" s="18"/>
    </row>
    <row r="12" spans="1:28" ht="15.75" customHeight="1">
      <c r="A12" s="19">
        <v>11</v>
      </c>
      <c r="B12" s="20" t="s">
        <v>274</v>
      </c>
      <c r="C12" s="20" t="s">
        <v>225</v>
      </c>
      <c r="D12" s="21" t="s">
        <v>275</v>
      </c>
      <c r="E12" s="20" t="s">
        <v>276</v>
      </c>
      <c r="F12" s="20" t="s">
        <v>277</v>
      </c>
      <c r="G12" s="20">
        <v>2019</v>
      </c>
      <c r="H12" s="20" t="s">
        <v>278</v>
      </c>
      <c r="I12" s="20" t="str">
        <f t="shared" si="0"/>
        <v>Recent</v>
      </c>
      <c r="J12" s="20"/>
      <c r="K12" s="20"/>
      <c r="L12" s="20"/>
      <c r="M12" s="18"/>
      <c r="N12" s="18"/>
      <c r="O12" s="18"/>
      <c r="P12" s="18"/>
      <c r="Q12" s="18"/>
      <c r="R12" s="18"/>
      <c r="S12" s="18"/>
      <c r="T12" s="18"/>
      <c r="U12" s="18"/>
      <c r="V12" s="18"/>
      <c r="W12" s="18"/>
      <c r="X12" s="18"/>
      <c r="Y12" s="18"/>
      <c r="Z12" s="18"/>
      <c r="AA12" s="18"/>
      <c r="AB12" s="18"/>
    </row>
    <row r="13" spans="1:28" ht="15.75" customHeight="1">
      <c r="A13" s="19">
        <v>12</v>
      </c>
      <c r="B13" s="20" t="s">
        <v>279</v>
      </c>
      <c r="C13" s="20" t="s">
        <v>225</v>
      </c>
      <c r="D13" s="21" t="s">
        <v>280</v>
      </c>
      <c r="E13" s="20" t="s">
        <v>281</v>
      </c>
      <c r="F13" s="20" t="s">
        <v>282</v>
      </c>
      <c r="G13" s="20">
        <v>2021</v>
      </c>
      <c r="H13" s="20" t="s">
        <v>283</v>
      </c>
      <c r="I13" s="20" t="str">
        <f t="shared" si="0"/>
        <v>Recent</v>
      </c>
      <c r="J13" s="20"/>
      <c r="K13" s="20"/>
      <c r="L13" s="20"/>
      <c r="M13" s="18"/>
      <c r="N13" s="18"/>
      <c r="O13" s="18"/>
      <c r="P13" s="18"/>
      <c r="Q13" s="18"/>
      <c r="R13" s="18"/>
      <c r="S13" s="18"/>
      <c r="T13" s="18"/>
      <c r="U13" s="18"/>
      <c r="V13" s="18"/>
      <c r="W13" s="18"/>
      <c r="X13" s="18"/>
      <c r="Y13" s="18"/>
      <c r="Z13" s="18"/>
      <c r="AA13" s="18"/>
      <c r="AB13" s="18"/>
    </row>
    <row r="14" spans="1:28" ht="15.75" customHeight="1">
      <c r="A14" s="19">
        <v>13</v>
      </c>
      <c r="B14" s="20" t="s">
        <v>284</v>
      </c>
      <c r="C14" s="20" t="s">
        <v>225</v>
      </c>
      <c r="D14" s="21" t="s">
        <v>285</v>
      </c>
      <c r="E14" s="20" t="s">
        <v>286</v>
      </c>
      <c r="F14" s="20" t="s">
        <v>287</v>
      </c>
      <c r="G14" s="20">
        <v>2008</v>
      </c>
      <c r="H14" s="20" t="s">
        <v>288</v>
      </c>
      <c r="I14" s="20" t="str">
        <f t="shared" si="0"/>
        <v>Early</v>
      </c>
      <c r="J14" s="20"/>
      <c r="K14" s="20"/>
      <c r="L14" s="20"/>
      <c r="M14" s="18"/>
      <c r="N14" s="18"/>
      <c r="O14" s="18"/>
      <c r="P14" s="18"/>
      <c r="Q14" s="18"/>
      <c r="R14" s="18"/>
      <c r="S14" s="18"/>
      <c r="T14" s="18"/>
      <c r="U14" s="18"/>
      <c r="V14" s="18"/>
      <c r="W14" s="18"/>
      <c r="X14" s="18"/>
      <c r="Y14" s="18"/>
      <c r="Z14" s="18"/>
      <c r="AA14" s="18"/>
      <c r="AB14" s="18"/>
    </row>
    <row r="15" spans="1:28" ht="15.75" customHeight="1">
      <c r="A15" s="19">
        <v>14</v>
      </c>
      <c r="B15" s="20" t="s">
        <v>289</v>
      </c>
      <c r="C15" s="20" t="s">
        <v>225</v>
      </c>
      <c r="D15" s="21" t="s">
        <v>290</v>
      </c>
      <c r="E15" s="20" t="s">
        <v>291</v>
      </c>
      <c r="F15" s="20" t="s">
        <v>292</v>
      </c>
      <c r="G15" s="20">
        <v>2018</v>
      </c>
      <c r="H15" s="20" t="s">
        <v>293</v>
      </c>
      <c r="I15" s="20" t="str">
        <f t="shared" si="0"/>
        <v>Recent</v>
      </c>
      <c r="J15" s="20"/>
      <c r="K15" s="20"/>
      <c r="L15" s="20"/>
      <c r="M15" s="18"/>
      <c r="N15" s="18"/>
      <c r="O15" s="18"/>
      <c r="P15" s="18"/>
      <c r="Q15" s="18"/>
      <c r="R15" s="18"/>
      <c r="S15" s="18"/>
      <c r="T15" s="18"/>
      <c r="U15" s="18"/>
      <c r="V15" s="18"/>
      <c r="W15" s="18"/>
      <c r="X15" s="18"/>
      <c r="Y15" s="18"/>
      <c r="Z15" s="18"/>
      <c r="AA15" s="18"/>
      <c r="AB15" s="18"/>
    </row>
    <row r="16" spans="1:28" ht="15.75" customHeight="1">
      <c r="A16" s="19">
        <v>15</v>
      </c>
      <c r="B16" s="20" t="s">
        <v>294</v>
      </c>
      <c r="C16" s="20" t="s">
        <v>225</v>
      </c>
      <c r="D16" s="22" t="s">
        <v>295</v>
      </c>
      <c r="E16" s="20" t="s">
        <v>296</v>
      </c>
      <c r="F16" s="20" t="s">
        <v>297</v>
      </c>
      <c r="G16" s="20">
        <v>2020</v>
      </c>
      <c r="H16" s="20" t="s">
        <v>298</v>
      </c>
      <c r="I16" s="20" t="str">
        <f t="shared" si="0"/>
        <v>Recent</v>
      </c>
      <c r="J16" s="20"/>
      <c r="K16" s="20"/>
      <c r="L16" s="20"/>
      <c r="M16" s="18"/>
      <c r="N16" s="18"/>
      <c r="O16" s="18"/>
      <c r="P16" s="18"/>
      <c r="Q16" s="18"/>
      <c r="R16" s="18"/>
      <c r="S16" s="18"/>
      <c r="T16" s="18"/>
      <c r="U16" s="18"/>
      <c r="V16" s="18"/>
      <c r="W16" s="18"/>
      <c r="X16" s="18"/>
      <c r="Y16" s="18"/>
      <c r="Z16" s="18"/>
      <c r="AA16" s="18"/>
      <c r="AB16" s="18"/>
    </row>
    <row r="17" spans="1:28" ht="15.75" customHeight="1">
      <c r="A17" s="19">
        <v>16</v>
      </c>
      <c r="B17" s="20" t="s">
        <v>299</v>
      </c>
      <c r="C17" s="20" t="s">
        <v>225</v>
      </c>
      <c r="D17" s="21" t="s">
        <v>300</v>
      </c>
      <c r="E17" s="20" t="s">
        <v>301</v>
      </c>
      <c r="F17" s="20" t="s">
        <v>302</v>
      </c>
      <c r="G17" s="20">
        <v>2017</v>
      </c>
      <c r="H17" s="20" t="s">
        <v>234</v>
      </c>
      <c r="I17" s="20" t="str">
        <f t="shared" si="0"/>
        <v>Middle</v>
      </c>
      <c r="J17" s="20"/>
      <c r="K17" s="20"/>
      <c r="L17" s="20"/>
      <c r="M17" s="18"/>
      <c r="N17" s="18"/>
      <c r="O17" s="18"/>
      <c r="P17" s="18"/>
      <c r="Q17" s="18"/>
      <c r="R17" s="18"/>
      <c r="S17" s="18"/>
      <c r="T17" s="18"/>
      <c r="U17" s="18"/>
      <c r="V17" s="18"/>
      <c r="W17" s="18"/>
      <c r="X17" s="18"/>
      <c r="Y17" s="18"/>
      <c r="Z17" s="18"/>
      <c r="AA17" s="18"/>
      <c r="AB17" s="18"/>
    </row>
    <row r="18" spans="1:28" ht="15.75" customHeight="1">
      <c r="A18" s="19">
        <v>17</v>
      </c>
      <c r="B18" s="20" t="s">
        <v>303</v>
      </c>
      <c r="C18" s="20" t="s">
        <v>225</v>
      </c>
      <c r="D18" s="21" t="s">
        <v>304</v>
      </c>
      <c r="E18" s="20" t="s">
        <v>305</v>
      </c>
      <c r="F18" s="20" t="s">
        <v>306</v>
      </c>
      <c r="G18" s="20">
        <v>2021</v>
      </c>
      <c r="H18" s="20" t="s">
        <v>307</v>
      </c>
      <c r="I18" s="20" t="str">
        <f t="shared" si="0"/>
        <v>Recent</v>
      </c>
      <c r="J18" s="20"/>
      <c r="K18" s="20"/>
      <c r="L18" s="20"/>
      <c r="M18" s="18"/>
      <c r="N18" s="18"/>
      <c r="O18" s="18"/>
      <c r="P18" s="18"/>
      <c r="Q18" s="18"/>
      <c r="R18" s="18"/>
      <c r="S18" s="18"/>
      <c r="T18" s="18"/>
      <c r="U18" s="18"/>
      <c r="V18" s="18"/>
      <c r="W18" s="18"/>
      <c r="X18" s="18"/>
      <c r="Y18" s="18"/>
      <c r="Z18" s="18"/>
      <c r="AA18" s="18"/>
      <c r="AB18" s="18"/>
    </row>
    <row r="19" spans="1:28" ht="15.75" customHeight="1">
      <c r="A19" s="19">
        <v>18</v>
      </c>
      <c r="B19" s="20" t="s">
        <v>308</v>
      </c>
      <c r="C19" s="20" t="s">
        <v>225</v>
      </c>
      <c r="D19" s="4" t="s">
        <v>309</v>
      </c>
      <c r="E19" s="20" t="s">
        <v>310</v>
      </c>
      <c r="F19" s="20" t="s">
        <v>311</v>
      </c>
      <c r="G19" s="20">
        <v>2021</v>
      </c>
      <c r="H19" s="20" t="s">
        <v>312</v>
      </c>
      <c r="I19" s="20" t="str">
        <f t="shared" si="0"/>
        <v>Recent</v>
      </c>
      <c r="J19" s="20"/>
      <c r="K19" s="20"/>
      <c r="L19" s="20"/>
      <c r="M19" s="18"/>
      <c r="N19" s="18"/>
      <c r="O19" s="18"/>
      <c r="P19" s="18"/>
      <c r="Q19" s="18"/>
      <c r="R19" s="18"/>
      <c r="S19" s="18"/>
      <c r="T19" s="18"/>
      <c r="U19" s="18"/>
      <c r="V19" s="18"/>
      <c r="W19" s="18"/>
      <c r="X19" s="18"/>
      <c r="Y19" s="18"/>
      <c r="Z19" s="18"/>
      <c r="AA19" s="18"/>
      <c r="AB19" s="18"/>
    </row>
    <row r="20" spans="1:28" ht="12.5" customHeight="1">
      <c r="A20" s="19">
        <v>19</v>
      </c>
      <c r="B20" s="20" t="s">
        <v>313</v>
      </c>
      <c r="C20" s="20" t="s">
        <v>225</v>
      </c>
      <c r="D20" s="21" t="s">
        <v>314</v>
      </c>
      <c r="E20" s="20" t="s">
        <v>315</v>
      </c>
      <c r="F20" s="20" t="s">
        <v>316</v>
      </c>
      <c r="G20" s="20">
        <v>2015</v>
      </c>
      <c r="H20" s="20" t="s">
        <v>317</v>
      </c>
      <c r="I20" s="20" t="str">
        <f t="shared" si="0"/>
        <v>Middle</v>
      </c>
      <c r="J20" s="20"/>
      <c r="K20" s="20"/>
      <c r="L20" s="20"/>
      <c r="M20" s="18"/>
      <c r="N20" s="18"/>
      <c r="O20" s="18"/>
      <c r="P20" s="18"/>
      <c r="Q20" s="18"/>
      <c r="R20" s="18"/>
      <c r="S20" s="18"/>
      <c r="T20" s="18"/>
      <c r="U20" s="18"/>
      <c r="V20" s="18"/>
      <c r="W20" s="18"/>
      <c r="X20" s="18"/>
      <c r="Y20" s="18"/>
      <c r="Z20" s="18"/>
      <c r="AA20" s="18"/>
      <c r="AB20" s="18"/>
    </row>
    <row r="21" spans="1:28" ht="12.5" customHeight="1">
      <c r="A21" s="19">
        <v>20</v>
      </c>
      <c r="B21" s="20" t="s">
        <v>318</v>
      </c>
      <c r="C21" s="20" t="s">
        <v>225</v>
      </c>
      <c r="D21" s="21" t="s">
        <v>319</v>
      </c>
      <c r="E21" s="20" t="s">
        <v>320</v>
      </c>
      <c r="F21" s="20" t="s">
        <v>321</v>
      </c>
      <c r="G21" s="20">
        <v>2008</v>
      </c>
      <c r="H21" s="20" t="s">
        <v>322</v>
      </c>
      <c r="I21" s="20" t="str">
        <f t="shared" si="0"/>
        <v>Early</v>
      </c>
      <c r="J21" s="20"/>
      <c r="K21" s="20"/>
      <c r="L21" s="20"/>
      <c r="M21" s="18"/>
      <c r="N21" s="18"/>
      <c r="O21" s="18"/>
      <c r="P21" s="18"/>
      <c r="Q21" s="18"/>
      <c r="R21" s="18"/>
      <c r="S21" s="18"/>
      <c r="T21" s="18"/>
      <c r="U21" s="18"/>
      <c r="V21" s="18"/>
      <c r="W21" s="18"/>
      <c r="X21" s="18"/>
      <c r="Y21" s="18"/>
      <c r="Z21" s="18"/>
      <c r="AA21" s="18"/>
      <c r="AB21" s="18"/>
    </row>
    <row r="22" spans="1:28" ht="12.5" customHeight="1">
      <c r="A22" s="19">
        <v>21</v>
      </c>
      <c r="B22" s="20" t="s">
        <v>323</v>
      </c>
      <c r="C22" s="20" t="s">
        <v>225</v>
      </c>
      <c r="D22" s="4" t="s">
        <v>324</v>
      </c>
      <c r="E22" s="20" t="s">
        <v>325</v>
      </c>
      <c r="F22" s="20" t="s">
        <v>326</v>
      </c>
      <c r="G22" s="20">
        <v>2021</v>
      </c>
      <c r="H22" s="20" t="s">
        <v>327</v>
      </c>
      <c r="I22" s="20" t="str">
        <f t="shared" si="0"/>
        <v>Recent</v>
      </c>
      <c r="J22" s="20"/>
      <c r="K22" s="20"/>
      <c r="L22" s="20"/>
      <c r="M22" s="18"/>
      <c r="N22" s="18"/>
      <c r="O22" s="18"/>
      <c r="P22" s="18"/>
      <c r="Q22" s="18"/>
      <c r="R22" s="18"/>
      <c r="S22" s="18"/>
      <c r="T22" s="18"/>
      <c r="U22" s="18"/>
      <c r="V22" s="18"/>
      <c r="W22" s="18"/>
      <c r="X22" s="18"/>
      <c r="Y22" s="18"/>
      <c r="Z22" s="18"/>
      <c r="AA22" s="18"/>
      <c r="AB22" s="18"/>
    </row>
    <row r="23" spans="1:28" ht="12.5" customHeight="1">
      <c r="A23" s="19">
        <v>22</v>
      </c>
      <c r="B23" s="20" t="s">
        <v>328</v>
      </c>
      <c r="C23" s="20" t="s">
        <v>225</v>
      </c>
      <c r="D23" s="21" t="s">
        <v>329</v>
      </c>
      <c r="E23" s="20" t="s">
        <v>330</v>
      </c>
      <c r="F23" s="20" t="s">
        <v>331</v>
      </c>
      <c r="G23" s="20">
        <v>2018</v>
      </c>
      <c r="H23" s="20" t="s">
        <v>332</v>
      </c>
      <c r="I23" s="20" t="str">
        <f t="shared" si="0"/>
        <v>Recent</v>
      </c>
      <c r="J23" s="20"/>
      <c r="K23" s="20"/>
      <c r="L23" s="20"/>
      <c r="M23" s="18"/>
      <c r="N23" s="18"/>
      <c r="O23" s="18"/>
      <c r="P23" s="18"/>
      <c r="Q23" s="18"/>
      <c r="R23" s="18"/>
      <c r="S23" s="18"/>
      <c r="T23" s="18"/>
      <c r="U23" s="18"/>
      <c r="V23" s="18"/>
      <c r="W23" s="18"/>
      <c r="X23" s="18"/>
      <c r="Y23" s="18"/>
      <c r="Z23" s="18"/>
      <c r="AA23" s="18"/>
      <c r="AB23" s="18"/>
    </row>
    <row r="24" spans="1:28" ht="12.5" customHeight="1">
      <c r="A24" s="19">
        <v>23</v>
      </c>
      <c r="B24" s="20" t="s">
        <v>333</v>
      </c>
      <c r="C24" s="20" t="s">
        <v>225</v>
      </c>
      <c r="D24" s="21" t="s">
        <v>334</v>
      </c>
      <c r="E24" s="20" t="s">
        <v>335</v>
      </c>
      <c r="F24" s="20" t="s">
        <v>336</v>
      </c>
      <c r="G24" s="20">
        <v>2019</v>
      </c>
      <c r="H24" s="20" t="s">
        <v>337</v>
      </c>
      <c r="I24" s="20" t="str">
        <f t="shared" si="0"/>
        <v>Recent</v>
      </c>
      <c r="J24" s="20"/>
      <c r="K24" s="20"/>
      <c r="L24" s="20"/>
      <c r="M24" s="18"/>
      <c r="N24" s="18"/>
      <c r="O24" s="18"/>
      <c r="P24" s="18"/>
      <c r="Q24" s="18"/>
      <c r="R24" s="18"/>
      <c r="S24" s="18"/>
      <c r="T24" s="18"/>
      <c r="U24" s="18"/>
      <c r="V24" s="18"/>
      <c r="W24" s="18"/>
      <c r="X24" s="18"/>
      <c r="Y24" s="18"/>
      <c r="Z24" s="18"/>
      <c r="AA24" s="18"/>
      <c r="AB24" s="18"/>
    </row>
    <row r="25" spans="1:28" ht="12.5" customHeight="1">
      <c r="A25" s="19">
        <v>24</v>
      </c>
      <c r="B25" s="20" t="s">
        <v>338</v>
      </c>
      <c r="C25" s="20" t="s">
        <v>225</v>
      </c>
      <c r="D25" s="21" t="s">
        <v>339</v>
      </c>
      <c r="E25" s="20" t="s">
        <v>340</v>
      </c>
      <c r="F25" s="20" t="s">
        <v>341</v>
      </c>
      <c r="G25" s="20">
        <v>2009</v>
      </c>
      <c r="H25" s="20" t="s">
        <v>259</v>
      </c>
      <c r="I25" s="20" t="str">
        <f t="shared" si="0"/>
        <v>Early</v>
      </c>
      <c r="J25" s="20"/>
      <c r="K25" s="20"/>
      <c r="L25" s="20"/>
      <c r="M25" s="18"/>
      <c r="N25" s="18"/>
      <c r="O25" s="18"/>
      <c r="P25" s="18"/>
      <c r="Q25" s="18"/>
      <c r="R25" s="18"/>
      <c r="S25" s="18"/>
      <c r="T25" s="18"/>
      <c r="U25" s="18"/>
      <c r="V25" s="18"/>
      <c r="W25" s="18"/>
      <c r="X25" s="18"/>
      <c r="Y25" s="18"/>
      <c r="Z25" s="18"/>
      <c r="AA25" s="18"/>
      <c r="AB25" s="18"/>
    </row>
    <row r="26" spans="1:28" ht="12.5" customHeight="1">
      <c r="A26" s="23">
        <v>25</v>
      </c>
      <c r="B26" s="23" t="s">
        <v>342</v>
      </c>
      <c r="C26" s="23" t="s">
        <v>225</v>
      </c>
      <c r="D26" s="24" t="s">
        <v>343</v>
      </c>
      <c r="E26" s="23" t="s">
        <v>344</v>
      </c>
      <c r="F26" s="23" t="s">
        <v>345</v>
      </c>
      <c r="G26" s="23">
        <v>2020</v>
      </c>
      <c r="H26" s="23" t="s">
        <v>346</v>
      </c>
      <c r="I26" s="23" t="str">
        <f t="shared" si="0"/>
        <v>Recent</v>
      </c>
      <c r="J26" s="23"/>
      <c r="K26" s="23"/>
      <c r="L26" s="23"/>
      <c r="M26" s="23"/>
      <c r="N26" s="23"/>
      <c r="O26" s="23"/>
      <c r="P26" s="23"/>
      <c r="Q26" s="23"/>
      <c r="R26" s="23"/>
      <c r="S26" s="23"/>
      <c r="T26" s="23"/>
      <c r="U26" s="23"/>
      <c r="V26" s="23"/>
      <c r="W26" s="23"/>
      <c r="X26" s="23"/>
      <c r="Y26" s="23"/>
      <c r="Z26" s="23"/>
      <c r="AA26" s="23"/>
      <c r="AB26" s="23"/>
    </row>
    <row r="27" spans="1:28" ht="12.5" customHeight="1">
      <c r="A27" s="19">
        <v>26</v>
      </c>
      <c r="B27" s="20" t="s">
        <v>347</v>
      </c>
      <c r="C27" s="20" t="s">
        <v>225</v>
      </c>
      <c r="D27" s="21" t="s">
        <v>348</v>
      </c>
      <c r="E27" s="20" t="s">
        <v>349</v>
      </c>
      <c r="F27" s="20" t="s">
        <v>350</v>
      </c>
      <c r="G27" s="20">
        <v>2015</v>
      </c>
      <c r="H27" s="20" t="s">
        <v>351</v>
      </c>
      <c r="I27" s="20" t="str">
        <f t="shared" si="0"/>
        <v>Middle</v>
      </c>
      <c r="J27" s="20"/>
      <c r="K27" s="20"/>
      <c r="L27" s="20"/>
      <c r="M27" s="18"/>
      <c r="N27" s="18"/>
      <c r="O27" s="18"/>
      <c r="P27" s="18"/>
      <c r="Q27" s="18"/>
      <c r="R27" s="18"/>
      <c r="S27" s="18"/>
      <c r="T27" s="18"/>
      <c r="U27" s="18"/>
      <c r="V27" s="18"/>
      <c r="W27" s="18"/>
      <c r="X27" s="18"/>
      <c r="Y27" s="18"/>
      <c r="Z27" s="18"/>
      <c r="AA27" s="18"/>
      <c r="AB27" s="18"/>
    </row>
    <row r="28" spans="1:28" ht="12.5" customHeight="1">
      <c r="A28" s="19">
        <v>27</v>
      </c>
      <c r="B28" s="20" t="s">
        <v>352</v>
      </c>
      <c r="C28" s="20" t="s">
        <v>225</v>
      </c>
      <c r="D28" s="21" t="s">
        <v>353</v>
      </c>
      <c r="E28" s="20" t="s">
        <v>354</v>
      </c>
      <c r="F28" s="20" t="s">
        <v>355</v>
      </c>
      <c r="G28" s="20">
        <v>2019</v>
      </c>
      <c r="H28" s="20" t="s">
        <v>254</v>
      </c>
      <c r="I28" s="20" t="str">
        <f t="shared" si="0"/>
        <v>Recent</v>
      </c>
      <c r="J28" s="20"/>
      <c r="K28" s="20"/>
      <c r="L28" s="20"/>
      <c r="M28" s="18"/>
      <c r="N28" s="18"/>
      <c r="O28" s="18"/>
      <c r="P28" s="18"/>
      <c r="Q28" s="18"/>
      <c r="R28" s="18"/>
      <c r="S28" s="18"/>
      <c r="T28" s="18"/>
      <c r="U28" s="18"/>
      <c r="V28" s="18"/>
      <c r="W28" s="18"/>
      <c r="X28" s="18"/>
      <c r="Y28" s="18"/>
      <c r="Z28" s="18"/>
      <c r="AA28" s="18"/>
      <c r="AB28" s="18"/>
    </row>
    <row r="29" spans="1:28" ht="12.5" customHeight="1">
      <c r="A29" s="19">
        <v>28</v>
      </c>
      <c r="B29" s="20" t="s">
        <v>356</v>
      </c>
      <c r="C29" s="20" t="s">
        <v>225</v>
      </c>
      <c r="D29" s="21" t="s">
        <v>357</v>
      </c>
      <c r="E29" s="20" t="s">
        <v>358</v>
      </c>
      <c r="F29" s="20" t="s">
        <v>359</v>
      </c>
      <c r="G29" s="20">
        <v>2008</v>
      </c>
      <c r="H29" s="20" t="s">
        <v>254</v>
      </c>
      <c r="I29" s="20" t="str">
        <f t="shared" si="0"/>
        <v>Early</v>
      </c>
      <c r="J29" s="20"/>
      <c r="K29" s="20"/>
      <c r="L29" s="20"/>
      <c r="M29" s="18"/>
      <c r="N29" s="18"/>
      <c r="O29" s="18"/>
      <c r="P29" s="18"/>
      <c r="Q29" s="18"/>
      <c r="R29" s="18"/>
      <c r="S29" s="18"/>
      <c r="T29" s="18"/>
      <c r="U29" s="18"/>
      <c r="V29" s="18"/>
      <c r="W29" s="18"/>
      <c r="X29" s="18"/>
      <c r="Y29" s="18"/>
      <c r="Z29" s="18"/>
      <c r="AA29" s="18"/>
      <c r="AB29" s="18"/>
    </row>
    <row r="30" spans="1:28" ht="12.5" customHeight="1">
      <c r="A30" s="19">
        <v>29</v>
      </c>
      <c r="B30" s="20" t="s">
        <v>360</v>
      </c>
      <c r="C30" s="20" t="s">
        <v>225</v>
      </c>
      <c r="D30" s="4" t="s">
        <v>361</v>
      </c>
      <c r="E30" s="20" t="s">
        <v>362</v>
      </c>
      <c r="F30" s="20" t="s">
        <v>359</v>
      </c>
      <c r="G30" s="20">
        <v>2019</v>
      </c>
      <c r="H30" s="20" t="s">
        <v>363</v>
      </c>
      <c r="I30" s="20" t="str">
        <f t="shared" si="0"/>
        <v>Recent</v>
      </c>
      <c r="J30" s="20"/>
      <c r="K30" s="20"/>
      <c r="L30" s="20"/>
      <c r="M30" s="18"/>
      <c r="N30" s="18"/>
      <c r="O30" s="18"/>
      <c r="P30" s="18"/>
      <c r="Q30" s="18"/>
      <c r="R30" s="18"/>
      <c r="S30" s="18"/>
      <c r="T30" s="18"/>
      <c r="U30" s="18"/>
      <c r="V30" s="18"/>
      <c r="W30" s="18"/>
      <c r="X30" s="18"/>
      <c r="Y30" s="18"/>
      <c r="Z30" s="18"/>
      <c r="AA30" s="18"/>
      <c r="AB30" s="18"/>
    </row>
    <row r="31" spans="1:28" ht="12.5" customHeight="1">
      <c r="A31" s="19">
        <v>30</v>
      </c>
      <c r="B31" s="20" t="s">
        <v>364</v>
      </c>
      <c r="C31" s="20" t="s">
        <v>225</v>
      </c>
      <c r="D31" s="21" t="s">
        <v>365</v>
      </c>
      <c r="E31" s="20" t="s">
        <v>366</v>
      </c>
      <c r="F31" s="20" t="s">
        <v>367</v>
      </c>
      <c r="G31" s="20">
        <v>2019</v>
      </c>
      <c r="H31" s="20" t="s">
        <v>368</v>
      </c>
      <c r="I31" s="20" t="str">
        <f t="shared" si="0"/>
        <v>Recent</v>
      </c>
      <c r="J31" s="20"/>
      <c r="K31" s="20"/>
      <c r="L31" s="20"/>
      <c r="M31" s="18"/>
      <c r="N31" s="18"/>
      <c r="O31" s="18"/>
      <c r="P31" s="18"/>
      <c r="Q31" s="18"/>
      <c r="R31" s="18"/>
      <c r="S31" s="18"/>
      <c r="T31" s="18"/>
      <c r="U31" s="18"/>
      <c r="V31" s="18"/>
      <c r="W31" s="18"/>
      <c r="X31" s="18"/>
      <c r="Y31" s="18"/>
      <c r="Z31" s="18"/>
      <c r="AA31" s="18"/>
      <c r="AB31" s="18"/>
    </row>
    <row r="32" spans="1:28" ht="12.5" customHeight="1">
      <c r="A32" s="19">
        <v>31</v>
      </c>
      <c r="B32" s="20" t="s">
        <v>369</v>
      </c>
      <c r="C32" s="20" t="s">
        <v>225</v>
      </c>
      <c r="D32" s="21" t="s">
        <v>370</v>
      </c>
      <c r="E32" s="20" t="s">
        <v>371</v>
      </c>
      <c r="F32" s="20" t="s">
        <v>372</v>
      </c>
      <c r="G32" s="20">
        <v>2021</v>
      </c>
      <c r="H32" s="20" t="s">
        <v>373</v>
      </c>
      <c r="I32" s="20" t="str">
        <f t="shared" si="0"/>
        <v>Recent</v>
      </c>
      <c r="J32" s="20"/>
      <c r="K32" s="20"/>
      <c r="L32" s="20"/>
      <c r="M32" s="18"/>
      <c r="N32" s="18"/>
      <c r="O32" s="18"/>
      <c r="P32" s="18"/>
      <c r="Q32" s="18"/>
      <c r="R32" s="18"/>
      <c r="S32" s="18"/>
      <c r="T32" s="18"/>
      <c r="U32" s="18"/>
      <c r="V32" s="18"/>
      <c r="W32" s="18"/>
      <c r="X32" s="18"/>
      <c r="Y32" s="18"/>
      <c r="Z32" s="18"/>
      <c r="AA32" s="18"/>
      <c r="AB32" s="18"/>
    </row>
    <row r="33" spans="1:28" ht="12.5" customHeight="1">
      <c r="A33" s="19">
        <v>32</v>
      </c>
      <c r="B33" s="20" t="s">
        <v>374</v>
      </c>
      <c r="C33" s="20" t="s">
        <v>225</v>
      </c>
      <c r="D33" s="21" t="s">
        <v>375</v>
      </c>
      <c r="E33" s="20" t="s">
        <v>376</v>
      </c>
      <c r="F33" s="20" t="s">
        <v>377</v>
      </c>
      <c r="G33" s="20">
        <v>2001</v>
      </c>
      <c r="H33" s="20" t="s">
        <v>378</v>
      </c>
      <c r="I33" s="20" t="str">
        <f t="shared" si="0"/>
        <v>Early</v>
      </c>
      <c r="J33" s="20"/>
      <c r="K33" s="20"/>
      <c r="L33" s="20"/>
      <c r="M33" s="18"/>
      <c r="N33" s="18"/>
      <c r="O33" s="18"/>
      <c r="P33" s="18"/>
      <c r="Q33" s="18"/>
      <c r="R33" s="18"/>
      <c r="S33" s="18"/>
      <c r="T33" s="18"/>
      <c r="U33" s="18"/>
      <c r="V33" s="18"/>
      <c r="W33" s="18"/>
      <c r="X33" s="18"/>
      <c r="Y33" s="18"/>
      <c r="Z33" s="18"/>
      <c r="AA33" s="18"/>
      <c r="AB33" s="18"/>
    </row>
    <row r="34" spans="1:28" ht="12.5" customHeight="1">
      <c r="A34" s="19">
        <v>33</v>
      </c>
      <c r="B34" s="20" t="s">
        <v>379</v>
      </c>
      <c r="C34" s="20" t="s">
        <v>225</v>
      </c>
      <c r="D34" s="21" t="s">
        <v>380</v>
      </c>
      <c r="E34" s="20" t="s">
        <v>381</v>
      </c>
      <c r="F34" s="20" t="s">
        <v>382</v>
      </c>
      <c r="G34" s="20">
        <v>2014</v>
      </c>
      <c r="H34" s="20" t="s">
        <v>383</v>
      </c>
      <c r="I34" s="20" t="str">
        <f t="shared" si="0"/>
        <v>Middle</v>
      </c>
      <c r="J34" s="20"/>
      <c r="K34" s="20"/>
      <c r="L34" s="20"/>
      <c r="M34" s="18"/>
      <c r="N34" s="18"/>
      <c r="O34" s="18"/>
      <c r="P34" s="18"/>
      <c r="Q34" s="18"/>
      <c r="R34" s="18"/>
      <c r="S34" s="18"/>
      <c r="T34" s="18"/>
      <c r="U34" s="18"/>
      <c r="V34" s="18"/>
      <c r="W34" s="18"/>
      <c r="X34" s="18"/>
      <c r="Y34" s="18"/>
      <c r="Z34" s="18"/>
      <c r="AA34" s="18"/>
      <c r="AB34" s="18"/>
    </row>
    <row r="35" spans="1:28" ht="12.5" customHeight="1">
      <c r="A35" s="19">
        <v>34</v>
      </c>
      <c r="B35" s="20" t="s">
        <v>384</v>
      </c>
      <c r="C35" s="20" t="s">
        <v>225</v>
      </c>
      <c r="D35" s="25" t="s">
        <v>385</v>
      </c>
      <c r="E35" s="20" t="s">
        <v>386</v>
      </c>
      <c r="F35" s="20" t="s">
        <v>387</v>
      </c>
      <c r="G35" s="20">
        <v>2014</v>
      </c>
      <c r="H35" s="20" t="s">
        <v>388</v>
      </c>
      <c r="I35" s="20" t="str">
        <f t="shared" si="0"/>
        <v>Middle</v>
      </c>
      <c r="J35" s="20"/>
      <c r="K35" s="20"/>
      <c r="L35" s="20"/>
      <c r="M35" s="18"/>
      <c r="N35" s="18"/>
      <c r="O35" s="18"/>
      <c r="P35" s="18"/>
      <c r="Q35" s="18"/>
      <c r="R35" s="18"/>
      <c r="S35" s="18"/>
      <c r="T35" s="18"/>
      <c r="U35" s="18"/>
      <c r="V35" s="18"/>
      <c r="W35" s="18"/>
      <c r="X35" s="18"/>
      <c r="Y35" s="18"/>
      <c r="Z35" s="18"/>
      <c r="AA35" s="18"/>
      <c r="AB35" s="18"/>
    </row>
    <row r="36" spans="1:28" ht="12.5" customHeight="1">
      <c r="A36" s="19">
        <v>35</v>
      </c>
      <c r="B36" s="20" t="s">
        <v>389</v>
      </c>
      <c r="C36" s="20" t="s">
        <v>225</v>
      </c>
      <c r="D36" s="21" t="s">
        <v>390</v>
      </c>
      <c r="E36" s="20" t="s">
        <v>391</v>
      </c>
      <c r="F36" s="20" t="s">
        <v>392</v>
      </c>
      <c r="G36" s="20">
        <v>2021</v>
      </c>
      <c r="H36" s="20" t="s">
        <v>393</v>
      </c>
      <c r="I36" s="20" t="str">
        <f t="shared" si="0"/>
        <v>Recent</v>
      </c>
      <c r="J36" s="20"/>
      <c r="K36" s="20"/>
      <c r="L36" s="20"/>
      <c r="M36" s="18"/>
      <c r="N36" s="18"/>
      <c r="O36" s="18"/>
      <c r="P36" s="18"/>
      <c r="Q36" s="18"/>
      <c r="R36" s="18"/>
      <c r="S36" s="18"/>
      <c r="T36" s="18"/>
      <c r="U36" s="18"/>
      <c r="V36" s="18"/>
      <c r="W36" s="18"/>
      <c r="X36" s="18"/>
      <c r="Y36" s="18"/>
      <c r="Z36" s="18"/>
      <c r="AA36" s="18"/>
      <c r="AB36" s="18"/>
    </row>
    <row r="37" spans="1:28" ht="12.5" customHeight="1">
      <c r="A37" s="19">
        <v>36</v>
      </c>
      <c r="B37" s="20" t="s">
        <v>394</v>
      </c>
      <c r="C37" s="20" t="s">
        <v>225</v>
      </c>
      <c r="D37" s="21" t="s">
        <v>395</v>
      </c>
      <c r="E37" s="20" t="s">
        <v>396</v>
      </c>
      <c r="F37" s="20" t="s">
        <v>397</v>
      </c>
      <c r="G37" s="20">
        <v>2018</v>
      </c>
      <c r="H37" s="20" t="s">
        <v>398</v>
      </c>
      <c r="I37" s="20" t="str">
        <f t="shared" si="0"/>
        <v>Recent</v>
      </c>
      <c r="J37" s="20"/>
      <c r="K37" s="20"/>
      <c r="L37" s="20"/>
      <c r="M37" s="18"/>
      <c r="N37" s="18"/>
      <c r="O37" s="18"/>
      <c r="P37" s="18"/>
      <c r="Q37" s="18"/>
      <c r="R37" s="18"/>
      <c r="S37" s="18"/>
      <c r="T37" s="18"/>
      <c r="U37" s="18"/>
      <c r="V37" s="18"/>
      <c r="W37" s="18"/>
      <c r="X37" s="18"/>
      <c r="Y37" s="18"/>
      <c r="Z37" s="18"/>
      <c r="AA37" s="18"/>
      <c r="AB37" s="18"/>
    </row>
    <row r="38" spans="1:28" ht="12.5" customHeight="1">
      <c r="A38" s="19">
        <v>37</v>
      </c>
      <c r="B38" s="20" t="s">
        <v>399</v>
      </c>
      <c r="C38" s="20" t="s">
        <v>225</v>
      </c>
      <c r="D38" s="21" t="s">
        <v>400</v>
      </c>
      <c r="E38" s="20" t="s">
        <v>401</v>
      </c>
      <c r="F38" s="20" t="s">
        <v>402</v>
      </c>
      <c r="G38" s="20">
        <v>2021</v>
      </c>
      <c r="H38" s="20" t="s">
        <v>403</v>
      </c>
      <c r="I38" s="20" t="str">
        <f t="shared" si="0"/>
        <v>Recent</v>
      </c>
      <c r="J38" s="20"/>
      <c r="K38" s="20"/>
      <c r="L38" s="20"/>
      <c r="M38" s="18"/>
      <c r="N38" s="18"/>
      <c r="O38" s="18"/>
      <c r="P38" s="18"/>
      <c r="Q38" s="18"/>
      <c r="R38" s="18"/>
      <c r="S38" s="18"/>
      <c r="T38" s="18"/>
      <c r="U38" s="18"/>
      <c r="V38" s="18"/>
      <c r="W38" s="18"/>
      <c r="X38" s="18"/>
      <c r="Y38" s="18"/>
      <c r="Z38" s="18"/>
      <c r="AA38" s="18"/>
      <c r="AB38" s="18"/>
    </row>
    <row r="39" spans="1:28" ht="12.5" customHeight="1">
      <c r="A39" s="19">
        <v>38</v>
      </c>
      <c r="B39" s="20" t="s">
        <v>404</v>
      </c>
      <c r="C39" s="20" t="s">
        <v>225</v>
      </c>
      <c r="D39" s="21" t="s">
        <v>405</v>
      </c>
      <c r="E39" s="20" t="s">
        <v>406</v>
      </c>
      <c r="F39" s="20" t="s">
        <v>407</v>
      </c>
      <c r="G39" s="20">
        <v>2015</v>
      </c>
      <c r="H39" s="20" t="s">
        <v>327</v>
      </c>
      <c r="I39" s="20" t="str">
        <f t="shared" si="0"/>
        <v>Middle</v>
      </c>
      <c r="J39" s="20"/>
      <c r="K39" s="20"/>
      <c r="L39" s="20"/>
      <c r="M39" s="18"/>
      <c r="N39" s="18"/>
      <c r="O39" s="18"/>
      <c r="P39" s="18"/>
      <c r="Q39" s="18"/>
      <c r="R39" s="18"/>
      <c r="S39" s="18"/>
      <c r="T39" s="18"/>
      <c r="U39" s="18"/>
      <c r="V39" s="18"/>
      <c r="W39" s="18"/>
      <c r="X39" s="18"/>
      <c r="Y39" s="18"/>
      <c r="Z39" s="18"/>
      <c r="AA39" s="18"/>
      <c r="AB39" s="18"/>
    </row>
    <row r="40" spans="1:28" ht="12.5" customHeight="1">
      <c r="A40" s="19">
        <v>39</v>
      </c>
      <c r="B40" s="20" t="s">
        <v>408</v>
      </c>
      <c r="C40" s="20" t="s">
        <v>225</v>
      </c>
      <c r="D40" s="21" t="s">
        <v>409</v>
      </c>
      <c r="E40" s="20" t="s">
        <v>410</v>
      </c>
      <c r="F40" s="20" t="s">
        <v>411</v>
      </c>
      <c r="G40" s="20">
        <v>2009</v>
      </c>
      <c r="H40" s="20" t="s">
        <v>412</v>
      </c>
      <c r="I40" s="20" t="str">
        <f t="shared" si="0"/>
        <v>Early</v>
      </c>
      <c r="J40" s="20"/>
      <c r="K40" s="20"/>
      <c r="L40" s="20"/>
      <c r="M40" s="18"/>
      <c r="N40" s="18"/>
      <c r="O40" s="18"/>
      <c r="P40" s="18"/>
      <c r="Q40" s="18"/>
      <c r="R40" s="18"/>
      <c r="S40" s="18"/>
      <c r="T40" s="18"/>
      <c r="U40" s="18"/>
      <c r="V40" s="18"/>
      <c r="W40" s="18"/>
      <c r="X40" s="18"/>
      <c r="Y40" s="18"/>
      <c r="Z40" s="18"/>
      <c r="AA40" s="18"/>
      <c r="AB40" s="18"/>
    </row>
    <row r="41" spans="1:28" ht="12.5" customHeight="1">
      <c r="A41" s="19">
        <v>40</v>
      </c>
      <c r="B41" s="20" t="s">
        <v>413</v>
      </c>
      <c r="C41" s="20" t="s">
        <v>225</v>
      </c>
      <c r="D41" s="21" t="s">
        <v>414</v>
      </c>
      <c r="E41" s="20" t="s">
        <v>415</v>
      </c>
      <c r="F41" s="20" t="s">
        <v>416</v>
      </c>
      <c r="G41" s="20">
        <v>2020</v>
      </c>
      <c r="H41" s="20" t="s">
        <v>417</v>
      </c>
      <c r="I41" s="20" t="str">
        <f t="shared" si="0"/>
        <v>Recent</v>
      </c>
      <c r="J41" s="20"/>
      <c r="K41" s="20"/>
      <c r="L41" s="20"/>
      <c r="M41" s="18"/>
      <c r="N41" s="18"/>
      <c r="O41" s="18"/>
      <c r="P41" s="18"/>
      <c r="Q41" s="18"/>
      <c r="R41" s="18"/>
      <c r="S41" s="18"/>
      <c r="T41" s="18"/>
      <c r="U41" s="18"/>
      <c r="V41" s="18"/>
      <c r="W41" s="18"/>
      <c r="X41" s="18"/>
      <c r="Y41" s="18"/>
      <c r="Z41" s="18"/>
      <c r="AA41" s="18"/>
      <c r="AB41" s="18"/>
    </row>
    <row r="42" spans="1:28" ht="12.5" customHeight="1">
      <c r="A42" s="19">
        <v>41</v>
      </c>
      <c r="B42" s="20" t="s">
        <v>418</v>
      </c>
      <c r="C42" s="20" t="s">
        <v>225</v>
      </c>
      <c r="D42" s="4" t="s">
        <v>419</v>
      </c>
      <c r="E42" s="20" t="s">
        <v>420</v>
      </c>
      <c r="F42" s="20" t="s">
        <v>421</v>
      </c>
      <c r="G42" s="20">
        <v>2021</v>
      </c>
      <c r="H42" s="20" t="s">
        <v>422</v>
      </c>
      <c r="I42" s="20" t="str">
        <f t="shared" si="0"/>
        <v>Recent</v>
      </c>
      <c r="J42" s="20"/>
      <c r="K42" s="20"/>
      <c r="L42" s="20"/>
      <c r="M42" s="18"/>
      <c r="N42" s="18"/>
      <c r="O42" s="18"/>
      <c r="P42" s="18"/>
      <c r="Q42" s="18"/>
      <c r="R42" s="18"/>
      <c r="S42" s="18"/>
      <c r="T42" s="18"/>
      <c r="U42" s="18"/>
      <c r="V42" s="18"/>
      <c r="W42" s="18"/>
      <c r="X42" s="18"/>
      <c r="Y42" s="18"/>
      <c r="Z42" s="18"/>
      <c r="AA42" s="18"/>
      <c r="AB42" s="18"/>
    </row>
    <row r="43" spans="1:28" ht="12.5" customHeight="1">
      <c r="A43" s="19">
        <v>42</v>
      </c>
      <c r="B43" s="20" t="s">
        <v>423</v>
      </c>
      <c r="C43" s="20" t="s">
        <v>225</v>
      </c>
      <c r="D43" s="26" t="s">
        <v>424</v>
      </c>
      <c r="E43" s="20" t="s">
        <v>425</v>
      </c>
      <c r="F43" s="20" t="s">
        <v>426</v>
      </c>
      <c r="G43" s="20">
        <v>2021</v>
      </c>
      <c r="H43" s="20" t="s">
        <v>427</v>
      </c>
      <c r="I43" s="20" t="str">
        <f t="shared" si="0"/>
        <v>Recent</v>
      </c>
      <c r="J43" s="20"/>
      <c r="K43" s="20"/>
      <c r="L43" s="20"/>
      <c r="M43" s="18"/>
      <c r="N43" s="18"/>
      <c r="O43" s="18"/>
      <c r="P43" s="18"/>
      <c r="Q43" s="18"/>
      <c r="R43" s="18"/>
      <c r="S43" s="18"/>
      <c r="T43" s="18"/>
      <c r="U43" s="18"/>
      <c r="V43" s="18"/>
      <c r="W43" s="18"/>
      <c r="X43" s="18"/>
      <c r="Y43" s="18"/>
      <c r="Z43" s="18"/>
      <c r="AA43" s="18"/>
      <c r="AB43" s="18"/>
    </row>
    <row r="44" spans="1:28" ht="12.5" customHeight="1">
      <c r="A44" s="19">
        <v>43</v>
      </c>
      <c r="B44" s="20" t="s">
        <v>428</v>
      </c>
      <c r="C44" s="20" t="s">
        <v>225</v>
      </c>
      <c r="D44" s="21" t="s">
        <v>429</v>
      </c>
      <c r="E44" s="20" t="s">
        <v>430</v>
      </c>
      <c r="F44" s="20" t="s">
        <v>431</v>
      </c>
      <c r="G44" s="20">
        <v>2019</v>
      </c>
      <c r="H44" s="20" t="s">
        <v>432</v>
      </c>
      <c r="I44" s="20" t="str">
        <f t="shared" si="0"/>
        <v>Recent</v>
      </c>
      <c r="J44" s="20"/>
      <c r="K44" s="20"/>
      <c r="L44" s="20"/>
      <c r="M44" s="18"/>
      <c r="N44" s="18"/>
      <c r="O44" s="18"/>
      <c r="P44" s="18"/>
      <c r="Q44" s="18"/>
      <c r="R44" s="18"/>
      <c r="S44" s="18"/>
      <c r="T44" s="18"/>
      <c r="U44" s="18"/>
      <c r="V44" s="18"/>
      <c r="W44" s="18"/>
      <c r="X44" s="18"/>
      <c r="Y44" s="18"/>
      <c r="Z44" s="18"/>
      <c r="AA44" s="18"/>
      <c r="AB44" s="18"/>
    </row>
    <row r="45" spans="1:28" ht="12.5" customHeight="1">
      <c r="A45" s="19">
        <v>44</v>
      </c>
      <c r="B45" s="20" t="s">
        <v>433</v>
      </c>
      <c r="C45" s="20" t="s">
        <v>225</v>
      </c>
      <c r="D45" s="21" t="s">
        <v>434</v>
      </c>
      <c r="E45" s="20" t="s">
        <v>435</v>
      </c>
      <c r="F45" s="20" t="s">
        <v>436</v>
      </c>
      <c r="G45" s="20">
        <v>2021</v>
      </c>
      <c r="H45" s="20" t="s">
        <v>437</v>
      </c>
      <c r="I45" s="20" t="str">
        <f t="shared" si="0"/>
        <v>Recent</v>
      </c>
      <c r="J45" s="20"/>
      <c r="K45" s="20"/>
      <c r="L45" s="20"/>
      <c r="M45" s="18"/>
      <c r="N45" s="18"/>
      <c r="O45" s="18"/>
      <c r="P45" s="18"/>
      <c r="Q45" s="18"/>
      <c r="R45" s="18"/>
      <c r="S45" s="18"/>
      <c r="T45" s="18"/>
      <c r="U45" s="18"/>
      <c r="V45" s="18"/>
      <c r="W45" s="18"/>
      <c r="X45" s="18"/>
      <c r="Y45" s="18"/>
      <c r="Z45" s="18"/>
      <c r="AA45" s="18"/>
      <c r="AB45" s="18"/>
    </row>
    <row r="46" spans="1:28" ht="12.5" customHeight="1">
      <c r="A46" s="23">
        <v>45</v>
      </c>
      <c r="B46" s="23" t="s">
        <v>438</v>
      </c>
      <c r="C46" s="23" t="s">
        <v>225</v>
      </c>
      <c r="D46" s="23"/>
      <c r="E46" s="23" t="s">
        <v>439</v>
      </c>
      <c r="F46" s="23" t="s">
        <v>440</v>
      </c>
      <c r="G46" s="23">
        <v>2010</v>
      </c>
      <c r="H46" s="23" t="s">
        <v>441</v>
      </c>
      <c r="I46" s="23" t="str">
        <f t="shared" si="0"/>
        <v>Middle</v>
      </c>
      <c r="J46" s="23"/>
      <c r="K46" s="23"/>
      <c r="L46" s="23"/>
      <c r="M46" s="23"/>
      <c r="N46" s="23"/>
      <c r="O46" s="23"/>
      <c r="P46" s="23"/>
      <c r="Q46" s="23"/>
      <c r="R46" s="23"/>
      <c r="S46" s="23"/>
      <c r="T46" s="23"/>
      <c r="U46" s="23"/>
      <c r="V46" s="23"/>
      <c r="W46" s="23"/>
      <c r="X46" s="23"/>
      <c r="Y46" s="23"/>
      <c r="Z46" s="23"/>
      <c r="AA46" s="23"/>
      <c r="AB46" s="23"/>
    </row>
    <row r="47" spans="1:28" ht="12.5" customHeight="1">
      <c r="A47" s="19">
        <v>46</v>
      </c>
      <c r="B47" s="20" t="s">
        <v>442</v>
      </c>
      <c r="C47" s="20" t="s">
        <v>225</v>
      </c>
      <c r="D47" s="21" t="s">
        <v>443</v>
      </c>
      <c r="E47" s="20" t="s">
        <v>444</v>
      </c>
      <c r="F47" s="20" t="s">
        <v>440</v>
      </c>
      <c r="G47" s="20">
        <v>2018</v>
      </c>
      <c r="H47" s="20" t="s">
        <v>445</v>
      </c>
      <c r="I47" s="20" t="str">
        <f t="shared" si="0"/>
        <v>Recent</v>
      </c>
      <c r="J47" s="20"/>
      <c r="K47" s="20"/>
      <c r="L47" s="20"/>
      <c r="M47" s="18"/>
      <c r="N47" s="18"/>
      <c r="O47" s="18"/>
      <c r="P47" s="18"/>
      <c r="Q47" s="18"/>
      <c r="R47" s="18"/>
      <c r="S47" s="18"/>
      <c r="T47" s="18"/>
      <c r="U47" s="18"/>
      <c r="V47" s="18"/>
      <c r="W47" s="18"/>
      <c r="X47" s="18"/>
      <c r="Y47" s="18"/>
      <c r="Z47" s="18"/>
      <c r="AA47" s="18"/>
      <c r="AB47" s="18"/>
    </row>
    <row r="48" spans="1:28" ht="15.5" customHeight="1">
      <c r="A48" s="19">
        <v>47</v>
      </c>
      <c r="B48" s="20" t="s">
        <v>446</v>
      </c>
      <c r="C48" s="20" t="s">
        <v>225</v>
      </c>
      <c r="D48" s="27" t="s">
        <v>447</v>
      </c>
      <c r="E48" s="20" t="s">
        <v>448</v>
      </c>
      <c r="F48" s="20" t="s">
        <v>449</v>
      </c>
      <c r="G48" s="20">
        <v>2017</v>
      </c>
      <c r="H48" s="20" t="s">
        <v>244</v>
      </c>
      <c r="I48" s="20" t="str">
        <f t="shared" si="0"/>
        <v>Middle</v>
      </c>
      <c r="J48" s="20"/>
      <c r="K48" s="20"/>
      <c r="L48" s="20"/>
      <c r="M48" s="18"/>
      <c r="N48" s="18"/>
      <c r="O48" s="18"/>
      <c r="P48" s="18"/>
      <c r="Q48" s="18"/>
      <c r="R48" s="18"/>
      <c r="S48" s="18"/>
      <c r="T48" s="18"/>
      <c r="U48" s="18"/>
      <c r="V48" s="18"/>
      <c r="W48" s="18"/>
      <c r="X48" s="18"/>
      <c r="Y48" s="18"/>
      <c r="Z48" s="18"/>
      <c r="AA48" s="18"/>
      <c r="AB48" s="18"/>
    </row>
    <row r="49" spans="1:28" ht="12.5" customHeight="1">
      <c r="A49" s="19">
        <v>48</v>
      </c>
      <c r="B49" s="20" t="s">
        <v>450</v>
      </c>
      <c r="C49" s="20" t="s">
        <v>225</v>
      </c>
      <c r="D49" s="25" t="s">
        <v>451</v>
      </c>
      <c r="E49" s="20" t="s">
        <v>452</v>
      </c>
      <c r="F49" s="20" t="s">
        <v>453</v>
      </c>
      <c r="G49" s="20">
        <v>2021</v>
      </c>
      <c r="H49" s="20" t="s">
        <v>454</v>
      </c>
      <c r="I49" s="20" t="str">
        <f t="shared" si="0"/>
        <v>Recent</v>
      </c>
      <c r="J49" s="20"/>
      <c r="K49" s="20"/>
      <c r="L49" s="20"/>
      <c r="M49" s="18"/>
      <c r="N49" s="18"/>
      <c r="O49" s="18"/>
      <c r="P49" s="18"/>
      <c r="Q49" s="18"/>
      <c r="R49" s="18"/>
      <c r="S49" s="18"/>
      <c r="T49" s="18"/>
      <c r="U49" s="18"/>
      <c r="V49" s="18"/>
      <c r="W49" s="18"/>
      <c r="X49" s="18"/>
      <c r="Y49" s="18"/>
      <c r="Z49" s="18"/>
      <c r="AA49" s="18"/>
      <c r="AB49" s="18"/>
    </row>
    <row r="50" spans="1:28" ht="12.5" customHeight="1">
      <c r="A50" s="19">
        <v>49</v>
      </c>
      <c r="B50" s="20" t="s">
        <v>455</v>
      </c>
      <c r="C50" s="20" t="s">
        <v>225</v>
      </c>
      <c r="D50" s="21" t="s">
        <v>456</v>
      </c>
      <c r="E50" s="20" t="s">
        <v>457</v>
      </c>
      <c r="F50" s="20" t="s">
        <v>458</v>
      </c>
      <c r="G50" s="20">
        <v>2020</v>
      </c>
      <c r="H50" s="20" t="s">
        <v>459</v>
      </c>
      <c r="I50" s="20" t="str">
        <f t="shared" si="0"/>
        <v>Recent</v>
      </c>
      <c r="J50" s="20"/>
      <c r="K50" s="20"/>
      <c r="L50" s="20"/>
      <c r="M50" s="18"/>
      <c r="N50" s="18"/>
      <c r="O50" s="18"/>
      <c r="P50" s="18"/>
      <c r="Q50" s="18"/>
      <c r="R50" s="18"/>
      <c r="S50" s="18"/>
      <c r="T50" s="18"/>
      <c r="U50" s="18"/>
      <c r="V50" s="18"/>
      <c r="W50" s="18"/>
      <c r="X50" s="18"/>
      <c r="Y50" s="18"/>
      <c r="Z50" s="18"/>
      <c r="AA50" s="18"/>
      <c r="AB50" s="18"/>
    </row>
    <row r="51" spans="1:28" ht="12.5" customHeight="1">
      <c r="A51" s="23">
        <v>50</v>
      </c>
      <c r="B51" s="23" t="s">
        <v>460</v>
      </c>
      <c r="C51" s="23" t="s">
        <v>225</v>
      </c>
      <c r="D51" s="23"/>
      <c r="E51" s="23" t="s">
        <v>461</v>
      </c>
      <c r="F51" s="23" t="s">
        <v>462</v>
      </c>
      <c r="G51" s="23">
        <v>2016</v>
      </c>
      <c r="H51" s="23" t="s">
        <v>463</v>
      </c>
      <c r="I51" s="23" t="str">
        <f t="shared" si="0"/>
        <v>Middle</v>
      </c>
      <c r="J51" s="23"/>
      <c r="K51" s="23"/>
      <c r="L51" s="23"/>
      <c r="M51" s="23"/>
      <c r="N51" s="23"/>
      <c r="O51" s="23"/>
      <c r="P51" s="23"/>
      <c r="Q51" s="23"/>
      <c r="R51" s="23"/>
      <c r="S51" s="23"/>
      <c r="T51" s="23"/>
      <c r="U51" s="23"/>
      <c r="V51" s="23"/>
      <c r="W51" s="23"/>
      <c r="X51" s="23"/>
      <c r="Y51" s="23"/>
      <c r="Z51" s="23"/>
      <c r="AA51" s="23"/>
      <c r="AB51" s="23"/>
    </row>
    <row r="52" spans="1:28" ht="12.5" customHeight="1">
      <c r="A52" s="19">
        <v>51</v>
      </c>
      <c r="B52" s="20" t="s">
        <v>464</v>
      </c>
      <c r="C52" s="20" t="s">
        <v>225</v>
      </c>
      <c r="D52" s="21" t="s">
        <v>465</v>
      </c>
      <c r="E52" s="20" t="s">
        <v>466</v>
      </c>
      <c r="F52" s="20" t="s">
        <v>467</v>
      </c>
      <c r="G52" s="20">
        <v>2020</v>
      </c>
      <c r="H52" s="20" t="s">
        <v>468</v>
      </c>
      <c r="I52" s="20" t="str">
        <f t="shared" si="0"/>
        <v>Recent</v>
      </c>
      <c r="J52" s="20"/>
      <c r="K52" s="20"/>
      <c r="L52" s="20"/>
      <c r="M52" s="18"/>
      <c r="N52" s="18"/>
      <c r="O52" s="18"/>
      <c r="P52" s="18"/>
      <c r="Q52" s="18"/>
      <c r="R52" s="18"/>
      <c r="S52" s="18"/>
      <c r="T52" s="18"/>
      <c r="U52" s="18"/>
      <c r="V52" s="18"/>
      <c r="W52" s="18"/>
      <c r="X52" s="18"/>
      <c r="Y52" s="18"/>
      <c r="Z52" s="18"/>
      <c r="AA52" s="18"/>
      <c r="AB52" s="18"/>
    </row>
    <row r="53" spans="1:28" ht="12.5" customHeight="1">
      <c r="A53" s="19">
        <v>52</v>
      </c>
      <c r="B53" s="20" t="s">
        <v>469</v>
      </c>
      <c r="C53" s="20" t="s">
        <v>225</v>
      </c>
      <c r="D53" s="21" t="s">
        <v>470</v>
      </c>
      <c r="E53" s="20" t="s">
        <v>471</v>
      </c>
      <c r="F53" s="20" t="s">
        <v>472</v>
      </c>
      <c r="G53" s="20">
        <v>2008</v>
      </c>
      <c r="H53" s="20" t="s">
        <v>259</v>
      </c>
      <c r="I53" s="20" t="str">
        <f t="shared" si="0"/>
        <v>Early</v>
      </c>
      <c r="J53" s="20"/>
      <c r="K53" s="20"/>
      <c r="L53" s="20"/>
      <c r="M53" s="18"/>
      <c r="N53" s="18"/>
      <c r="O53" s="18"/>
      <c r="P53" s="18"/>
      <c r="Q53" s="18"/>
      <c r="R53" s="18"/>
      <c r="S53" s="18"/>
      <c r="T53" s="18"/>
      <c r="U53" s="18"/>
      <c r="V53" s="18"/>
      <c r="W53" s="18"/>
      <c r="X53" s="18"/>
      <c r="Y53" s="18"/>
      <c r="Z53" s="18"/>
      <c r="AA53" s="18"/>
      <c r="AB53" s="18"/>
    </row>
    <row r="54" spans="1:28" ht="12.5" customHeight="1">
      <c r="A54" s="19">
        <v>53</v>
      </c>
      <c r="B54" s="20" t="s">
        <v>473</v>
      </c>
      <c r="C54" s="20" t="s">
        <v>225</v>
      </c>
      <c r="D54" s="4" t="s">
        <v>474</v>
      </c>
      <c r="E54" s="20" t="s">
        <v>475</v>
      </c>
      <c r="F54" s="20" t="s">
        <v>476</v>
      </c>
      <c r="G54" s="20">
        <v>2021</v>
      </c>
      <c r="H54" s="20" t="s">
        <v>477</v>
      </c>
      <c r="I54" s="20" t="str">
        <f t="shared" si="0"/>
        <v>Recent</v>
      </c>
      <c r="J54" s="20"/>
      <c r="K54" s="20"/>
      <c r="L54" s="20"/>
      <c r="M54" s="18"/>
      <c r="N54" s="18"/>
      <c r="O54" s="18"/>
      <c r="P54" s="18"/>
      <c r="Q54" s="18"/>
      <c r="R54" s="18"/>
      <c r="S54" s="18"/>
      <c r="T54" s="18"/>
      <c r="U54" s="18"/>
      <c r="V54" s="18"/>
      <c r="W54" s="18"/>
      <c r="X54" s="18"/>
      <c r="Y54" s="18"/>
      <c r="Z54" s="18"/>
      <c r="AA54" s="18"/>
      <c r="AB54" s="18"/>
    </row>
    <row r="55" spans="1:28" ht="12.5" customHeight="1">
      <c r="A55" s="19">
        <v>54</v>
      </c>
      <c r="B55" s="20" t="s">
        <v>478</v>
      </c>
      <c r="C55" s="20" t="s">
        <v>225</v>
      </c>
      <c r="D55" s="21" t="s">
        <v>479</v>
      </c>
      <c r="E55" s="20" t="s">
        <v>480</v>
      </c>
      <c r="F55" s="20" t="s">
        <v>481</v>
      </c>
      <c r="G55" s="20">
        <v>2010</v>
      </c>
      <c r="H55" s="20" t="s">
        <v>234</v>
      </c>
      <c r="I55" s="20" t="str">
        <f t="shared" si="0"/>
        <v>Middle</v>
      </c>
      <c r="J55" s="20"/>
      <c r="K55" s="20"/>
      <c r="L55" s="20"/>
      <c r="M55" s="18"/>
      <c r="N55" s="18"/>
      <c r="O55" s="18"/>
      <c r="P55" s="18"/>
      <c r="Q55" s="18"/>
      <c r="R55" s="18"/>
      <c r="S55" s="18"/>
      <c r="T55" s="18"/>
      <c r="U55" s="18"/>
      <c r="V55" s="18"/>
      <c r="W55" s="18"/>
      <c r="X55" s="18"/>
      <c r="Y55" s="18"/>
      <c r="Z55" s="18"/>
      <c r="AA55" s="18"/>
      <c r="AB55" s="18"/>
    </row>
    <row r="56" spans="1:28" ht="12.5" customHeight="1">
      <c r="A56" s="19">
        <v>55</v>
      </c>
      <c r="B56" s="20" t="s">
        <v>482</v>
      </c>
      <c r="C56" s="20" t="s">
        <v>225</v>
      </c>
      <c r="D56" s="21" t="s">
        <v>483</v>
      </c>
      <c r="E56" s="20" t="s">
        <v>484</v>
      </c>
      <c r="F56" s="20" t="s">
        <v>485</v>
      </c>
      <c r="G56" s="20">
        <v>2020</v>
      </c>
      <c r="H56" s="20" t="s">
        <v>486</v>
      </c>
      <c r="I56" s="20" t="str">
        <f t="shared" si="0"/>
        <v>Recent</v>
      </c>
      <c r="J56" s="20"/>
      <c r="K56" s="20"/>
      <c r="L56" s="20"/>
      <c r="M56" s="18"/>
      <c r="N56" s="18"/>
      <c r="O56" s="18"/>
      <c r="P56" s="18"/>
      <c r="Q56" s="18"/>
      <c r="R56" s="18"/>
      <c r="S56" s="18"/>
      <c r="T56" s="18"/>
      <c r="U56" s="18"/>
      <c r="V56" s="18"/>
      <c r="W56" s="18"/>
      <c r="X56" s="18"/>
      <c r="Y56" s="18"/>
      <c r="Z56" s="18"/>
      <c r="AA56" s="18"/>
      <c r="AB56" s="18"/>
    </row>
    <row r="57" spans="1:28" ht="12.5" customHeight="1">
      <c r="A57" s="19">
        <v>56</v>
      </c>
      <c r="B57" s="20" t="s">
        <v>487</v>
      </c>
      <c r="C57" s="20" t="s">
        <v>225</v>
      </c>
      <c r="D57" s="21" t="s">
        <v>488</v>
      </c>
      <c r="E57" s="20" t="s">
        <v>489</v>
      </c>
      <c r="F57" s="20" t="s">
        <v>490</v>
      </c>
      <c r="G57" s="20">
        <v>2018</v>
      </c>
      <c r="H57" s="20" t="s">
        <v>491</v>
      </c>
      <c r="I57" s="20" t="str">
        <f t="shared" si="0"/>
        <v>Recent</v>
      </c>
      <c r="J57" s="20"/>
      <c r="K57" s="20"/>
      <c r="L57" s="20"/>
      <c r="M57" s="18"/>
      <c r="N57" s="18"/>
      <c r="O57" s="18"/>
      <c r="P57" s="18"/>
      <c r="Q57" s="18"/>
      <c r="R57" s="18"/>
      <c r="S57" s="18"/>
      <c r="T57" s="18"/>
      <c r="U57" s="18"/>
      <c r="V57" s="18"/>
      <c r="W57" s="18"/>
      <c r="X57" s="18"/>
      <c r="Y57" s="18"/>
      <c r="Z57" s="18"/>
      <c r="AA57" s="18"/>
      <c r="AB57" s="18"/>
    </row>
    <row r="58" spans="1:28" ht="12.5" customHeight="1">
      <c r="A58" s="19">
        <v>57</v>
      </c>
      <c r="B58" s="20" t="s">
        <v>492</v>
      </c>
      <c r="C58" s="20" t="s">
        <v>225</v>
      </c>
      <c r="D58" s="21" t="s">
        <v>493</v>
      </c>
      <c r="E58" s="20" t="s">
        <v>494</v>
      </c>
      <c r="F58" s="20" t="s">
        <v>495</v>
      </c>
      <c r="G58" s="20">
        <v>2020</v>
      </c>
      <c r="H58" s="20" t="s">
        <v>496</v>
      </c>
      <c r="I58" s="20" t="str">
        <f t="shared" si="0"/>
        <v>Recent</v>
      </c>
      <c r="J58" s="20"/>
      <c r="K58" s="20"/>
      <c r="L58" s="20"/>
      <c r="M58" s="18"/>
      <c r="N58" s="18"/>
      <c r="O58" s="18"/>
      <c r="P58" s="18"/>
      <c r="Q58" s="18"/>
      <c r="R58" s="18"/>
      <c r="S58" s="18"/>
      <c r="T58" s="18"/>
      <c r="U58" s="18"/>
      <c r="V58" s="18"/>
      <c r="W58" s="18"/>
      <c r="X58" s="18"/>
      <c r="Y58" s="18"/>
      <c r="Z58" s="18"/>
      <c r="AA58" s="18"/>
      <c r="AB58" s="18"/>
    </row>
    <row r="59" spans="1:28" ht="12.5" customHeight="1">
      <c r="A59" s="19">
        <v>58</v>
      </c>
      <c r="B59" s="20" t="s">
        <v>497</v>
      </c>
      <c r="C59" s="20" t="s">
        <v>225</v>
      </c>
      <c r="D59" s="21" t="s">
        <v>498</v>
      </c>
      <c r="E59" s="20" t="s">
        <v>499</v>
      </c>
      <c r="F59" s="20" t="s">
        <v>500</v>
      </c>
      <c r="G59" s="20">
        <v>2017</v>
      </c>
      <c r="H59" s="20" t="s">
        <v>501</v>
      </c>
      <c r="I59" s="20" t="str">
        <f t="shared" si="0"/>
        <v>Middle</v>
      </c>
      <c r="J59" s="20"/>
      <c r="K59" s="20"/>
      <c r="L59" s="20"/>
      <c r="M59" s="18"/>
      <c r="N59" s="18"/>
      <c r="O59" s="18"/>
      <c r="P59" s="18"/>
      <c r="Q59" s="18"/>
      <c r="R59" s="18"/>
      <c r="S59" s="18"/>
      <c r="T59" s="18"/>
      <c r="U59" s="18"/>
      <c r="V59" s="18"/>
      <c r="W59" s="18"/>
      <c r="X59" s="18"/>
      <c r="Y59" s="18"/>
      <c r="Z59" s="18"/>
      <c r="AA59" s="18"/>
      <c r="AB59" s="18"/>
    </row>
    <row r="60" spans="1:28" ht="12.5" customHeight="1">
      <c r="A60" s="19">
        <v>59</v>
      </c>
      <c r="B60" s="20" t="s">
        <v>502</v>
      </c>
      <c r="C60" s="20" t="s">
        <v>225</v>
      </c>
      <c r="D60" s="21" t="s">
        <v>503</v>
      </c>
      <c r="E60" s="20" t="s">
        <v>504</v>
      </c>
      <c r="F60" s="20" t="s">
        <v>500</v>
      </c>
      <c r="G60" s="20">
        <v>2020</v>
      </c>
      <c r="H60" s="20" t="s">
        <v>505</v>
      </c>
      <c r="I60" s="20" t="str">
        <f t="shared" si="0"/>
        <v>Recent</v>
      </c>
      <c r="J60" s="20"/>
      <c r="K60" s="20"/>
      <c r="L60" s="20"/>
      <c r="M60" s="18"/>
      <c r="N60" s="18"/>
      <c r="O60" s="18"/>
      <c r="P60" s="18"/>
      <c r="Q60" s="18"/>
      <c r="R60" s="18"/>
      <c r="S60" s="18"/>
      <c r="T60" s="18"/>
      <c r="U60" s="18"/>
      <c r="V60" s="18"/>
      <c r="W60" s="18"/>
      <c r="X60" s="18"/>
      <c r="Y60" s="18"/>
      <c r="Z60" s="18"/>
      <c r="AA60" s="18"/>
      <c r="AB60" s="18"/>
    </row>
    <row r="61" spans="1:28" ht="12.5" customHeight="1">
      <c r="A61" s="19">
        <v>60</v>
      </c>
      <c r="B61" s="20" t="s">
        <v>506</v>
      </c>
      <c r="C61" s="20" t="s">
        <v>225</v>
      </c>
      <c r="D61" s="21" t="s">
        <v>507</v>
      </c>
      <c r="E61" s="20" t="s">
        <v>508</v>
      </c>
      <c r="F61" s="20" t="s">
        <v>509</v>
      </c>
      <c r="G61" s="20">
        <v>1996</v>
      </c>
      <c r="H61" s="20" t="s">
        <v>510</v>
      </c>
      <c r="I61" s="20" t="str">
        <f t="shared" si="0"/>
        <v>Early</v>
      </c>
      <c r="J61" s="20"/>
      <c r="K61" s="20"/>
      <c r="L61" s="20"/>
      <c r="M61" s="18"/>
      <c r="N61" s="18"/>
      <c r="O61" s="18"/>
      <c r="P61" s="18"/>
      <c r="Q61" s="18"/>
      <c r="R61" s="18"/>
      <c r="S61" s="18"/>
      <c r="T61" s="18"/>
      <c r="U61" s="18"/>
      <c r="V61" s="18"/>
      <c r="W61" s="18"/>
      <c r="X61" s="18"/>
      <c r="Y61" s="18"/>
      <c r="Z61" s="18"/>
      <c r="AA61" s="18"/>
      <c r="AB61" s="18"/>
    </row>
    <row r="62" spans="1:28" ht="12.5" customHeight="1">
      <c r="A62" s="19">
        <v>61</v>
      </c>
      <c r="B62" s="20" t="s">
        <v>511</v>
      </c>
      <c r="C62" s="20" t="s">
        <v>225</v>
      </c>
      <c r="D62" s="21" t="s">
        <v>512</v>
      </c>
      <c r="E62" s="20" t="s">
        <v>513</v>
      </c>
      <c r="F62" s="20" t="s">
        <v>514</v>
      </c>
      <c r="G62" s="20">
        <v>2020</v>
      </c>
      <c r="H62" s="20" t="s">
        <v>515</v>
      </c>
      <c r="I62" s="20" t="str">
        <f t="shared" si="0"/>
        <v>Recent</v>
      </c>
      <c r="J62" s="20"/>
      <c r="K62" s="20"/>
      <c r="L62" s="20"/>
      <c r="M62" s="18"/>
      <c r="N62" s="18"/>
      <c r="O62" s="18"/>
      <c r="P62" s="18"/>
      <c r="Q62" s="18"/>
      <c r="R62" s="18"/>
      <c r="S62" s="18"/>
      <c r="T62" s="18"/>
      <c r="U62" s="18"/>
      <c r="V62" s="18"/>
      <c r="W62" s="18"/>
      <c r="X62" s="18"/>
      <c r="Y62" s="18"/>
      <c r="Z62" s="18"/>
      <c r="AA62" s="18"/>
      <c r="AB62" s="18"/>
    </row>
    <row r="63" spans="1:28" ht="12.5" customHeight="1">
      <c r="A63" s="19">
        <v>62</v>
      </c>
      <c r="B63" s="20" t="s">
        <v>516</v>
      </c>
      <c r="C63" s="20" t="s">
        <v>225</v>
      </c>
      <c r="D63" s="21" t="s">
        <v>517</v>
      </c>
      <c r="E63" s="20" t="s">
        <v>518</v>
      </c>
      <c r="F63" s="20" t="s">
        <v>519</v>
      </c>
      <c r="G63" s="20">
        <v>2015</v>
      </c>
      <c r="H63" s="20" t="s">
        <v>520</v>
      </c>
      <c r="I63" s="20" t="str">
        <f t="shared" si="0"/>
        <v>Middle</v>
      </c>
      <c r="J63" s="20"/>
      <c r="K63" s="20"/>
      <c r="L63" s="20"/>
      <c r="M63" s="18"/>
      <c r="N63" s="18"/>
      <c r="O63" s="18"/>
      <c r="P63" s="18"/>
      <c r="Q63" s="18"/>
      <c r="R63" s="18"/>
      <c r="S63" s="18"/>
      <c r="T63" s="18"/>
      <c r="U63" s="18"/>
      <c r="V63" s="18"/>
      <c r="W63" s="18"/>
      <c r="X63" s="18"/>
      <c r="Y63" s="18"/>
      <c r="Z63" s="18"/>
      <c r="AA63" s="18"/>
      <c r="AB63" s="18"/>
    </row>
    <row r="64" spans="1:28" ht="12.5" customHeight="1">
      <c r="A64" s="19">
        <v>63</v>
      </c>
      <c r="B64" s="20" t="s">
        <v>521</v>
      </c>
      <c r="C64" s="20" t="s">
        <v>225</v>
      </c>
      <c r="D64" s="21" t="s">
        <v>522</v>
      </c>
      <c r="E64" s="20" t="s">
        <v>523</v>
      </c>
      <c r="F64" s="20" t="s">
        <v>524</v>
      </c>
      <c r="G64" s="20">
        <v>2017</v>
      </c>
      <c r="H64" s="20" t="s">
        <v>525</v>
      </c>
      <c r="I64" s="20" t="str">
        <f t="shared" si="0"/>
        <v>Middle</v>
      </c>
      <c r="J64" s="20"/>
      <c r="K64" s="20"/>
      <c r="L64" s="20"/>
      <c r="M64" s="18"/>
      <c r="N64" s="18"/>
      <c r="O64" s="18"/>
      <c r="P64" s="18"/>
      <c r="Q64" s="18"/>
      <c r="R64" s="18"/>
      <c r="S64" s="18"/>
      <c r="T64" s="18"/>
      <c r="U64" s="18"/>
      <c r="V64" s="18"/>
      <c r="W64" s="18"/>
      <c r="X64" s="18"/>
      <c r="Y64" s="18"/>
      <c r="Z64" s="18"/>
      <c r="AA64" s="18"/>
      <c r="AB64" s="18"/>
    </row>
    <row r="65" spans="1:28" ht="12.5" customHeight="1">
      <c r="A65" s="19">
        <v>64</v>
      </c>
      <c r="B65" s="20" t="s">
        <v>526</v>
      </c>
      <c r="C65" s="20" t="s">
        <v>225</v>
      </c>
      <c r="D65" s="21" t="s">
        <v>527</v>
      </c>
      <c r="E65" s="20" t="s">
        <v>528</v>
      </c>
      <c r="F65" s="20" t="s">
        <v>524</v>
      </c>
      <c r="G65" s="20">
        <v>2019</v>
      </c>
      <c r="H65" s="20" t="s">
        <v>529</v>
      </c>
      <c r="I65" s="20" t="str">
        <f t="shared" si="0"/>
        <v>Recent</v>
      </c>
      <c r="J65" s="20"/>
      <c r="K65" s="20"/>
      <c r="L65" s="20"/>
      <c r="M65" s="18"/>
      <c r="N65" s="18"/>
      <c r="O65" s="18"/>
      <c r="P65" s="18"/>
      <c r="Q65" s="18"/>
      <c r="R65" s="18"/>
      <c r="S65" s="18"/>
      <c r="T65" s="18"/>
      <c r="U65" s="18"/>
      <c r="V65" s="18"/>
      <c r="W65" s="18"/>
      <c r="X65" s="18"/>
      <c r="Y65" s="18"/>
      <c r="Z65" s="18"/>
      <c r="AA65" s="18"/>
      <c r="AB65" s="18"/>
    </row>
    <row r="66" spans="1:28" ht="12.5" customHeight="1">
      <c r="A66" s="19">
        <v>65</v>
      </c>
      <c r="B66" s="20" t="s">
        <v>530</v>
      </c>
      <c r="C66" s="20" t="s">
        <v>225</v>
      </c>
      <c r="D66" s="4" t="s">
        <v>531</v>
      </c>
      <c r="E66" s="20" t="s">
        <v>532</v>
      </c>
      <c r="F66" s="20" t="s">
        <v>533</v>
      </c>
      <c r="G66" s="20">
        <v>2020</v>
      </c>
      <c r="H66" s="20" t="s">
        <v>351</v>
      </c>
      <c r="I66" s="20" t="str">
        <f t="shared" si="0"/>
        <v>Recent</v>
      </c>
      <c r="J66" s="20"/>
      <c r="K66" s="20"/>
      <c r="L66" s="20"/>
      <c r="M66" s="18"/>
      <c r="N66" s="18"/>
      <c r="O66" s="18"/>
      <c r="P66" s="18"/>
      <c r="Q66" s="18"/>
      <c r="R66" s="18"/>
      <c r="S66" s="18"/>
      <c r="T66" s="18"/>
      <c r="U66" s="18"/>
      <c r="V66" s="18"/>
      <c r="W66" s="18"/>
      <c r="X66" s="18"/>
      <c r="Y66" s="18"/>
      <c r="Z66" s="18"/>
      <c r="AA66" s="18"/>
      <c r="AB66" s="18"/>
    </row>
    <row r="67" spans="1:28" ht="12.5" customHeight="1">
      <c r="A67" s="19">
        <v>66</v>
      </c>
      <c r="B67" s="20" t="s">
        <v>534</v>
      </c>
      <c r="C67" s="20" t="s">
        <v>225</v>
      </c>
      <c r="D67" s="21" t="s">
        <v>535</v>
      </c>
      <c r="E67" s="20" t="s">
        <v>536</v>
      </c>
      <c r="F67" s="20" t="s">
        <v>537</v>
      </c>
      <c r="G67" s="20">
        <v>2014</v>
      </c>
      <c r="H67" s="20" t="s">
        <v>538</v>
      </c>
      <c r="I67" s="20" t="str">
        <f t="shared" si="0"/>
        <v>Middle</v>
      </c>
      <c r="J67" s="20"/>
      <c r="K67" s="20"/>
      <c r="L67" s="20"/>
      <c r="M67" s="18"/>
      <c r="N67" s="18"/>
      <c r="O67" s="18"/>
      <c r="P67" s="18"/>
      <c r="Q67" s="18"/>
      <c r="R67" s="18"/>
      <c r="S67" s="18"/>
      <c r="T67" s="18"/>
      <c r="U67" s="18"/>
      <c r="V67" s="18"/>
      <c r="W67" s="18"/>
      <c r="X67" s="18"/>
      <c r="Y67" s="18"/>
      <c r="Z67" s="18"/>
      <c r="AA67" s="18"/>
      <c r="AB67" s="18"/>
    </row>
    <row r="68" spans="1:28" ht="12.5" customHeight="1">
      <c r="A68" s="19">
        <v>67</v>
      </c>
      <c r="B68" s="20" t="s">
        <v>539</v>
      </c>
      <c r="C68" s="20" t="s">
        <v>225</v>
      </c>
      <c r="D68" s="21" t="s">
        <v>540</v>
      </c>
      <c r="E68" s="20" t="s">
        <v>541</v>
      </c>
      <c r="F68" s="20" t="s">
        <v>542</v>
      </c>
      <c r="G68" s="20">
        <v>2015</v>
      </c>
      <c r="H68" s="20" t="s">
        <v>543</v>
      </c>
      <c r="I68" s="20" t="str">
        <f t="shared" si="0"/>
        <v>Middle</v>
      </c>
      <c r="J68" s="20"/>
      <c r="K68" s="20"/>
      <c r="L68" s="20"/>
      <c r="M68" s="18"/>
      <c r="N68" s="18"/>
      <c r="O68" s="18"/>
      <c r="P68" s="18"/>
      <c r="Q68" s="18"/>
      <c r="R68" s="18"/>
      <c r="S68" s="18"/>
      <c r="T68" s="18"/>
      <c r="U68" s="18"/>
      <c r="V68" s="18"/>
      <c r="W68" s="18"/>
      <c r="X68" s="18"/>
      <c r="Y68" s="18"/>
      <c r="Z68" s="18"/>
      <c r="AA68" s="18"/>
      <c r="AB68" s="18"/>
    </row>
    <row r="69" spans="1:28" ht="12.5" customHeight="1">
      <c r="A69" s="19">
        <v>68</v>
      </c>
      <c r="B69" s="20" t="s">
        <v>544</v>
      </c>
      <c r="C69" s="20" t="s">
        <v>225</v>
      </c>
      <c r="D69" s="21" t="s">
        <v>545</v>
      </c>
      <c r="E69" s="20" t="s">
        <v>546</v>
      </c>
      <c r="F69" s="20" t="s">
        <v>547</v>
      </c>
      <c r="G69" s="20">
        <v>2000</v>
      </c>
      <c r="H69" s="20" t="s">
        <v>548</v>
      </c>
      <c r="I69" s="20" t="str">
        <f t="shared" si="0"/>
        <v>Early</v>
      </c>
      <c r="J69" s="20"/>
      <c r="K69" s="20"/>
      <c r="L69" s="20"/>
      <c r="M69" s="18"/>
      <c r="N69" s="18"/>
      <c r="O69" s="18"/>
      <c r="P69" s="18"/>
      <c r="Q69" s="18"/>
      <c r="R69" s="18"/>
      <c r="S69" s="18"/>
      <c r="T69" s="18"/>
      <c r="U69" s="18"/>
      <c r="V69" s="18"/>
      <c r="W69" s="18"/>
      <c r="X69" s="18"/>
      <c r="Y69" s="18"/>
      <c r="Z69" s="18"/>
      <c r="AA69" s="18"/>
      <c r="AB69" s="18"/>
    </row>
    <row r="70" spans="1:28" ht="12.5" customHeight="1">
      <c r="A70" s="19">
        <v>69</v>
      </c>
      <c r="B70" s="20" t="s">
        <v>549</v>
      </c>
      <c r="C70" s="20" t="s">
        <v>225</v>
      </c>
      <c r="D70" s="21" t="s">
        <v>550</v>
      </c>
      <c r="E70" s="20" t="s">
        <v>551</v>
      </c>
      <c r="F70" s="20" t="s">
        <v>552</v>
      </c>
      <c r="G70" s="20">
        <v>2020</v>
      </c>
      <c r="H70" s="20" t="s">
        <v>501</v>
      </c>
      <c r="I70" s="20" t="str">
        <f t="shared" si="0"/>
        <v>Recent</v>
      </c>
      <c r="J70" s="20"/>
      <c r="K70" s="20"/>
      <c r="L70" s="20"/>
      <c r="M70" s="18"/>
      <c r="N70" s="18"/>
      <c r="O70" s="18"/>
      <c r="P70" s="18"/>
      <c r="Q70" s="18"/>
      <c r="R70" s="18"/>
      <c r="S70" s="18"/>
      <c r="T70" s="18"/>
      <c r="U70" s="18"/>
      <c r="V70" s="18"/>
      <c r="W70" s="18"/>
      <c r="X70" s="18"/>
      <c r="Y70" s="18"/>
      <c r="Z70" s="18"/>
      <c r="AA70" s="18"/>
      <c r="AB70" s="18"/>
    </row>
    <row r="71" spans="1:28" ht="12.5" customHeight="1">
      <c r="A71" s="19">
        <v>70</v>
      </c>
      <c r="B71" s="20" t="s">
        <v>553</v>
      </c>
      <c r="C71" s="20" t="s">
        <v>225</v>
      </c>
      <c r="D71" s="21" t="s">
        <v>554</v>
      </c>
      <c r="E71" s="20" t="s">
        <v>555</v>
      </c>
      <c r="F71" s="20" t="s">
        <v>556</v>
      </c>
      <c r="G71" s="20">
        <v>2021</v>
      </c>
      <c r="H71" s="20" t="s">
        <v>557</v>
      </c>
      <c r="I71" s="20" t="str">
        <f t="shared" si="0"/>
        <v>Recent</v>
      </c>
      <c r="J71" s="20"/>
      <c r="K71" s="20"/>
      <c r="L71" s="20"/>
      <c r="M71" s="18"/>
      <c r="N71" s="18"/>
      <c r="O71" s="18"/>
      <c r="P71" s="18"/>
      <c r="Q71" s="18"/>
      <c r="R71" s="18"/>
      <c r="S71" s="18"/>
      <c r="T71" s="18"/>
      <c r="U71" s="18"/>
      <c r="V71" s="18"/>
      <c r="W71" s="18"/>
      <c r="X71" s="18"/>
      <c r="Y71" s="18"/>
      <c r="Z71" s="18"/>
      <c r="AA71" s="18"/>
      <c r="AB71" s="18"/>
    </row>
    <row r="72" spans="1:28" ht="12.5" customHeight="1">
      <c r="A72" s="19">
        <v>71</v>
      </c>
      <c r="B72" s="20" t="s">
        <v>558</v>
      </c>
      <c r="C72" s="20" t="s">
        <v>225</v>
      </c>
      <c r="D72" s="21" t="s">
        <v>559</v>
      </c>
      <c r="E72" s="20" t="s">
        <v>560</v>
      </c>
      <c r="F72" s="20" t="s">
        <v>561</v>
      </c>
      <c r="G72" s="20">
        <v>2018</v>
      </c>
      <c r="H72" s="20" t="s">
        <v>562</v>
      </c>
      <c r="I72" s="20" t="str">
        <f t="shared" si="0"/>
        <v>Recent</v>
      </c>
      <c r="J72" s="20"/>
      <c r="K72" s="20"/>
      <c r="L72" s="20"/>
      <c r="M72" s="18"/>
      <c r="N72" s="18"/>
      <c r="O72" s="18"/>
      <c r="P72" s="18"/>
      <c r="Q72" s="18"/>
      <c r="R72" s="18"/>
      <c r="S72" s="18"/>
      <c r="T72" s="18"/>
      <c r="U72" s="18"/>
      <c r="V72" s="18"/>
      <c r="W72" s="18"/>
      <c r="X72" s="18"/>
      <c r="Y72" s="18"/>
      <c r="Z72" s="18"/>
      <c r="AA72" s="18"/>
      <c r="AB72" s="18"/>
    </row>
    <row r="73" spans="1:28" ht="12.5" customHeight="1">
      <c r="A73" s="19">
        <v>72</v>
      </c>
      <c r="B73" s="20" t="s">
        <v>563</v>
      </c>
      <c r="C73" s="20" t="s">
        <v>225</v>
      </c>
      <c r="D73" s="21" t="s">
        <v>564</v>
      </c>
      <c r="E73" s="20" t="s">
        <v>565</v>
      </c>
      <c r="F73" s="20" t="s">
        <v>566</v>
      </c>
      <c r="G73" s="20">
        <v>2020</v>
      </c>
      <c r="H73" s="20" t="s">
        <v>567</v>
      </c>
      <c r="I73" s="20" t="str">
        <f t="shared" si="0"/>
        <v>Recent</v>
      </c>
      <c r="J73" s="20"/>
      <c r="K73" s="20"/>
      <c r="L73" s="20"/>
      <c r="M73" s="18"/>
      <c r="N73" s="18"/>
      <c r="O73" s="18"/>
      <c r="P73" s="18"/>
      <c r="Q73" s="18"/>
      <c r="R73" s="18"/>
      <c r="S73" s="18"/>
      <c r="T73" s="18"/>
      <c r="U73" s="18"/>
      <c r="V73" s="18"/>
      <c r="W73" s="18"/>
      <c r="X73" s="18"/>
      <c r="Y73" s="18"/>
      <c r="Z73" s="18"/>
      <c r="AA73" s="18"/>
      <c r="AB73" s="18"/>
    </row>
    <row r="74" spans="1:28" ht="12.5" customHeight="1">
      <c r="A74" s="19">
        <v>73</v>
      </c>
      <c r="B74" s="20" t="s">
        <v>568</v>
      </c>
      <c r="C74" s="20" t="s">
        <v>225</v>
      </c>
      <c r="D74" s="21" t="s">
        <v>569</v>
      </c>
      <c r="E74" s="20" t="s">
        <v>570</v>
      </c>
      <c r="F74" s="20" t="s">
        <v>571</v>
      </c>
      <c r="G74" s="20">
        <v>2020</v>
      </c>
      <c r="H74" s="20" t="s">
        <v>572</v>
      </c>
      <c r="I74" s="20" t="str">
        <f t="shared" si="0"/>
        <v>Recent</v>
      </c>
      <c r="J74" s="20"/>
      <c r="K74" s="20"/>
      <c r="L74" s="20"/>
      <c r="M74" s="18"/>
      <c r="N74" s="18"/>
      <c r="O74" s="18"/>
      <c r="P74" s="18"/>
      <c r="Q74" s="18"/>
      <c r="R74" s="18"/>
      <c r="S74" s="18"/>
      <c r="T74" s="18"/>
      <c r="U74" s="18"/>
      <c r="V74" s="18"/>
      <c r="W74" s="18"/>
      <c r="X74" s="18"/>
      <c r="Y74" s="18"/>
      <c r="Z74" s="18"/>
      <c r="AA74" s="18"/>
      <c r="AB74" s="18"/>
    </row>
    <row r="75" spans="1:28" ht="12.5" customHeight="1">
      <c r="A75" s="19">
        <v>74</v>
      </c>
      <c r="B75" s="20" t="s">
        <v>573</v>
      </c>
      <c r="C75" s="20" t="s">
        <v>225</v>
      </c>
      <c r="D75" s="21" t="s">
        <v>574</v>
      </c>
      <c r="E75" s="20" t="s">
        <v>575</v>
      </c>
      <c r="F75" s="20" t="s">
        <v>576</v>
      </c>
      <c r="G75" s="20">
        <v>2014</v>
      </c>
      <c r="H75" s="20" t="s">
        <v>501</v>
      </c>
      <c r="I75" s="20" t="str">
        <f t="shared" si="0"/>
        <v>Middle</v>
      </c>
      <c r="J75" s="20"/>
      <c r="K75" s="20"/>
      <c r="L75" s="20"/>
      <c r="M75" s="18"/>
      <c r="N75" s="18"/>
      <c r="O75" s="18"/>
      <c r="P75" s="18"/>
      <c r="Q75" s="18"/>
      <c r="R75" s="18"/>
      <c r="S75" s="18"/>
      <c r="T75" s="18"/>
      <c r="U75" s="18"/>
      <c r="V75" s="18"/>
      <c r="W75" s="18"/>
      <c r="X75" s="18"/>
      <c r="Y75" s="18"/>
      <c r="Z75" s="18"/>
      <c r="AA75" s="18"/>
      <c r="AB75" s="18"/>
    </row>
    <row r="76" spans="1:28" ht="12.5" customHeight="1">
      <c r="A76" s="19">
        <v>75</v>
      </c>
      <c r="B76" s="20" t="s">
        <v>577</v>
      </c>
      <c r="C76" s="20" t="s">
        <v>225</v>
      </c>
      <c r="D76" s="21" t="s">
        <v>578</v>
      </c>
      <c r="E76" s="20" t="s">
        <v>579</v>
      </c>
      <c r="F76" s="20" t="s">
        <v>580</v>
      </c>
      <c r="G76" s="20">
        <v>2018</v>
      </c>
      <c r="H76" s="20" t="s">
        <v>234</v>
      </c>
      <c r="I76" s="20" t="str">
        <f t="shared" si="0"/>
        <v>Recent</v>
      </c>
      <c r="J76" s="20"/>
      <c r="K76" s="20"/>
      <c r="L76" s="20"/>
      <c r="M76" s="18"/>
      <c r="N76" s="18"/>
      <c r="O76" s="18"/>
      <c r="P76" s="18"/>
      <c r="Q76" s="18"/>
      <c r="R76" s="18"/>
      <c r="S76" s="18"/>
      <c r="T76" s="18"/>
      <c r="U76" s="18"/>
      <c r="V76" s="18"/>
      <c r="W76" s="18"/>
      <c r="X76" s="18"/>
      <c r="Y76" s="18"/>
      <c r="Z76" s="18"/>
      <c r="AA76" s="18"/>
      <c r="AB76" s="18"/>
    </row>
    <row r="77" spans="1:28" ht="12.5" customHeight="1">
      <c r="A77" s="19">
        <v>76</v>
      </c>
      <c r="B77" s="20" t="s">
        <v>581</v>
      </c>
      <c r="C77" s="20" t="s">
        <v>225</v>
      </c>
      <c r="D77" s="21" t="s">
        <v>582</v>
      </c>
      <c r="E77" s="20" t="s">
        <v>583</v>
      </c>
      <c r="F77" s="20" t="s">
        <v>584</v>
      </c>
      <c r="G77" s="20">
        <v>2019</v>
      </c>
      <c r="H77" s="20" t="s">
        <v>585</v>
      </c>
      <c r="I77" s="20" t="str">
        <f t="shared" si="0"/>
        <v>Recent</v>
      </c>
      <c r="J77" s="20"/>
      <c r="K77" s="20"/>
      <c r="L77" s="20"/>
      <c r="M77" s="18"/>
      <c r="N77" s="18"/>
      <c r="O77" s="18"/>
      <c r="P77" s="18"/>
      <c r="Q77" s="18"/>
      <c r="R77" s="18"/>
      <c r="S77" s="18"/>
      <c r="T77" s="18"/>
      <c r="U77" s="18"/>
      <c r="V77" s="18"/>
      <c r="W77" s="18"/>
      <c r="X77" s="18"/>
      <c r="Y77" s="18"/>
      <c r="Z77" s="18"/>
      <c r="AA77" s="18"/>
      <c r="AB77" s="18"/>
    </row>
    <row r="78" spans="1:28" ht="12.5" customHeight="1">
      <c r="A78" s="23">
        <v>77</v>
      </c>
      <c r="B78" s="23" t="s">
        <v>586</v>
      </c>
      <c r="C78" s="23" t="s">
        <v>225</v>
      </c>
      <c r="D78" s="23"/>
      <c r="E78" s="23" t="s">
        <v>587</v>
      </c>
      <c r="F78" s="23" t="s">
        <v>588</v>
      </c>
      <c r="G78" s="23">
        <v>2018</v>
      </c>
      <c r="H78" s="23" t="s">
        <v>589</v>
      </c>
      <c r="I78" s="23" t="str">
        <f t="shared" si="0"/>
        <v>Recent</v>
      </c>
      <c r="J78" s="23"/>
      <c r="K78" s="23"/>
      <c r="L78" s="23"/>
      <c r="M78" s="23"/>
      <c r="N78" s="23"/>
      <c r="O78" s="23"/>
      <c r="P78" s="23"/>
      <c r="Q78" s="23"/>
      <c r="R78" s="23"/>
      <c r="S78" s="23"/>
      <c r="T78" s="23"/>
      <c r="U78" s="23"/>
      <c r="V78" s="23"/>
      <c r="W78" s="23"/>
      <c r="X78" s="23"/>
      <c r="Y78" s="23"/>
      <c r="Z78" s="23"/>
      <c r="AA78" s="23"/>
      <c r="AB78" s="23"/>
    </row>
    <row r="79" spans="1:28" ht="12.5" customHeight="1">
      <c r="A79" s="19">
        <v>78</v>
      </c>
      <c r="B79" s="20" t="s">
        <v>590</v>
      </c>
      <c r="C79" s="20" t="s">
        <v>225</v>
      </c>
      <c r="D79" s="21" t="s">
        <v>591</v>
      </c>
      <c r="E79" s="20" t="s">
        <v>592</v>
      </c>
      <c r="F79" s="20" t="s">
        <v>593</v>
      </c>
      <c r="G79" s="20">
        <v>2021</v>
      </c>
      <c r="H79" s="20" t="s">
        <v>594</v>
      </c>
      <c r="I79" s="20" t="str">
        <f t="shared" si="0"/>
        <v>Recent</v>
      </c>
      <c r="J79" s="20"/>
      <c r="K79" s="20"/>
      <c r="L79" s="20"/>
      <c r="M79" s="18"/>
      <c r="N79" s="18"/>
      <c r="O79" s="18"/>
      <c r="P79" s="18"/>
      <c r="Q79" s="18"/>
      <c r="R79" s="18"/>
      <c r="S79" s="18"/>
      <c r="T79" s="18"/>
      <c r="U79" s="18"/>
      <c r="V79" s="18"/>
      <c r="W79" s="18"/>
      <c r="X79" s="18"/>
      <c r="Y79" s="18"/>
      <c r="Z79" s="18"/>
      <c r="AA79" s="18"/>
      <c r="AB79" s="18"/>
    </row>
    <row r="80" spans="1:28" ht="12.5" customHeight="1">
      <c r="A80" s="19">
        <v>79</v>
      </c>
      <c r="B80" s="20" t="s">
        <v>595</v>
      </c>
      <c r="C80" s="20" t="s">
        <v>225</v>
      </c>
      <c r="D80" s="21" t="s">
        <v>596</v>
      </c>
      <c r="E80" s="20" t="s">
        <v>597</v>
      </c>
      <c r="F80" s="20" t="s">
        <v>598</v>
      </c>
      <c r="G80" s="20">
        <v>2009</v>
      </c>
      <c r="H80" s="20" t="s">
        <v>599</v>
      </c>
      <c r="I80" s="20" t="str">
        <f t="shared" si="0"/>
        <v>Early</v>
      </c>
      <c r="J80" s="20"/>
      <c r="K80" s="20"/>
      <c r="L80" s="20"/>
      <c r="M80" s="18"/>
      <c r="N80" s="18"/>
      <c r="O80" s="18"/>
      <c r="P80" s="18"/>
      <c r="Q80" s="18"/>
      <c r="R80" s="18"/>
      <c r="S80" s="18"/>
      <c r="T80" s="18"/>
      <c r="U80" s="18"/>
      <c r="V80" s="18"/>
      <c r="W80" s="18"/>
      <c r="X80" s="18"/>
      <c r="Y80" s="18"/>
      <c r="Z80" s="18"/>
      <c r="AA80" s="18"/>
      <c r="AB80" s="18"/>
    </row>
    <row r="81" spans="1:28" ht="12.5" customHeight="1">
      <c r="A81" s="19">
        <v>80</v>
      </c>
      <c r="B81" s="20" t="s">
        <v>600</v>
      </c>
      <c r="C81" s="20" t="s">
        <v>225</v>
      </c>
      <c r="D81" s="21" t="s">
        <v>601</v>
      </c>
      <c r="E81" s="20" t="s">
        <v>602</v>
      </c>
      <c r="F81" s="20" t="s">
        <v>603</v>
      </c>
      <c r="G81" s="20">
        <v>2020</v>
      </c>
      <c r="H81" s="20" t="s">
        <v>604</v>
      </c>
      <c r="I81" s="20" t="str">
        <f t="shared" si="0"/>
        <v>Recent</v>
      </c>
      <c r="J81" s="20"/>
      <c r="K81" s="20"/>
      <c r="L81" s="20"/>
      <c r="M81" s="18"/>
      <c r="N81" s="18"/>
      <c r="O81" s="18"/>
      <c r="P81" s="18"/>
      <c r="Q81" s="18"/>
      <c r="R81" s="18"/>
      <c r="S81" s="18"/>
      <c r="T81" s="18"/>
      <c r="U81" s="18"/>
      <c r="V81" s="18"/>
      <c r="W81" s="18"/>
      <c r="X81" s="18"/>
      <c r="Y81" s="18"/>
      <c r="Z81" s="18"/>
      <c r="AA81" s="18"/>
      <c r="AB81" s="18"/>
    </row>
    <row r="82" spans="1:28" ht="12.5" customHeight="1">
      <c r="A82" s="19">
        <v>81</v>
      </c>
      <c r="B82" s="20" t="s">
        <v>605</v>
      </c>
      <c r="C82" s="20" t="s">
        <v>225</v>
      </c>
      <c r="D82" s="21" t="s">
        <v>606</v>
      </c>
      <c r="E82" s="20" t="s">
        <v>607</v>
      </c>
      <c r="F82" s="20" t="s">
        <v>608</v>
      </c>
      <c r="G82" s="20">
        <v>2017</v>
      </c>
      <c r="H82" s="20" t="s">
        <v>609</v>
      </c>
      <c r="I82" s="20" t="str">
        <f t="shared" si="0"/>
        <v>Middle</v>
      </c>
      <c r="J82" s="20"/>
      <c r="K82" s="20"/>
      <c r="L82" s="20"/>
      <c r="M82" s="18"/>
      <c r="N82" s="18"/>
      <c r="O82" s="18"/>
      <c r="P82" s="18"/>
      <c r="Q82" s="18"/>
      <c r="R82" s="18"/>
      <c r="S82" s="18"/>
      <c r="T82" s="18"/>
      <c r="U82" s="18"/>
      <c r="V82" s="18"/>
      <c r="W82" s="18"/>
      <c r="X82" s="18"/>
      <c r="Y82" s="18"/>
      <c r="Z82" s="18"/>
      <c r="AA82" s="18"/>
      <c r="AB82" s="18"/>
    </row>
    <row r="83" spans="1:28" ht="12.5" customHeight="1">
      <c r="A83" s="23">
        <v>82</v>
      </c>
      <c r="B83" s="23" t="s">
        <v>610</v>
      </c>
      <c r="C83" s="23" t="s">
        <v>225</v>
      </c>
      <c r="D83" s="23"/>
      <c r="E83" s="23" t="s">
        <v>611</v>
      </c>
      <c r="F83" s="23" t="s">
        <v>612</v>
      </c>
      <c r="G83" s="23">
        <v>2017</v>
      </c>
      <c r="H83" s="23" t="s">
        <v>613</v>
      </c>
      <c r="I83" s="23" t="str">
        <f t="shared" si="0"/>
        <v>Middle</v>
      </c>
      <c r="J83" s="23"/>
      <c r="K83" s="23"/>
      <c r="L83" s="23"/>
      <c r="M83" s="23"/>
      <c r="N83" s="23"/>
      <c r="O83" s="23"/>
      <c r="P83" s="23"/>
      <c r="Q83" s="23"/>
      <c r="R83" s="23"/>
      <c r="S83" s="23"/>
      <c r="T83" s="23"/>
      <c r="U83" s="23"/>
      <c r="V83" s="23"/>
      <c r="W83" s="23"/>
      <c r="X83" s="23"/>
      <c r="Y83" s="23"/>
      <c r="Z83" s="23"/>
      <c r="AA83" s="23"/>
      <c r="AB83" s="23"/>
    </row>
    <row r="84" spans="1:28" ht="12.5" customHeight="1">
      <c r="A84" s="19">
        <v>83</v>
      </c>
      <c r="B84" s="20" t="s">
        <v>614</v>
      </c>
      <c r="C84" s="20" t="s">
        <v>225</v>
      </c>
      <c r="D84" s="21" t="s">
        <v>615</v>
      </c>
      <c r="E84" s="20" t="s">
        <v>616</v>
      </c>
      <c r="F84" s="20" t="s">
        <v>617</v>
      </c>
      <c r="G84" s="20">
        <v>2014</v>
      </c>
      <c r="H84" s="20" t="s">
        <v>618</v>
      </c>
      <c r="I84" s="20" t="str">
        <f t="shared" si="0"/>
        <v>Middle</v>
      </c>
      <c r="J84" s="20"/>
      <c r="K84" s="20"/>
      <c r="L84" s="20"/>
      <c r="M84" s="18"/>
      <c r="N84" s="18"/>
      <c r="O84" s="18"/>
      <c r="P84" s="18"/>
      <c r="Q84" s="18"/>
      <c r="R84" s="18"/>
      <c r="S84" s="18"/>
      <c r="T84" s="18"/>
      <c r="U84" s="18"/>
      <c r="V84" s="18"/>
      <c r="W84" s="18"/>
      <c r="X84" s="18"/>
      <c r="Y84" s="18"/>
      <c r="Z84" s="18"/>
      <c r="AA84" s="18"/>
      <c r="AB84" s="18"/>
    </row>
    <row r="85" spans="1:28" ht="12.5" customHeight="1">
      <c r="A85" s="19">
        <v>84</v>
      </c>
      <c r="B85" s="20" t="s">
        <v>619</v>
      </c>
      <c r="C85" s="20" t="s">
        <v>225</v>
      </c>
      <c r="D85" s="21" t="s">
        <v>620</v>
      </c>
      <c r="E85" s="20" t="s">
        <v>621</v>
      </c>
      <c r="F85" s="20" t="s">
        <v>622</v>
      </c>
      <c r="G85" s="20">
        <v>2011</v>
      </c>
      <c r="H85" s="20" t="s">
        <v>623</v>
      </c>
      <c r="I85" s="20" t="str">
        <f t="shared" si="0"/>
        <v>Middle</v>
      </c>
      <c r="J85" s="20"/>
      <c r="K85" s="20"/>
      <c r="L85" s="20"/>
      <c r="M85" s="18"/>
      <c r="N85" s="18"/>
      <c r="O85" s="18"/>
      <c r="P85" s="18"/>
      <c r="Q85" s="18"/>
      <c r="R85" s="18"/>
      <c r="S85" s="18"/>
      <c r="T85" s="18"/>
      <c r="U85" s="18"/>
      <c r="V85" s="18"/>
      <c r="W85" s="18"/>
      <c r="X85" s="18"/>
      <c r="Y85" s="18"/>
      <c r="Z85" s="18"/>
      <c r="AA85" s="18"/>
      <c r="AB85" s="18"/>
    </row>
    <row r="86" spans="1:28" ht="12.5" customHeight="1">
      <c r="A86" s="19">
        <v>85</v>
      </c>
      <c r="B86" s="20" t="s">
        <v>624</v>
      </c>
      <c r="C86" s="20" t="s">
        <v>225</v>
      </c>
      <c r="D86" s="21" t="s">
        <v>625</v>
      </c>
      <c r="E86" s="20" t="s">
        <v>626</v>
      </c>
      <c r="F86" s="20" t="s">
        <v>627</v>
      </c>
      <c r="G86" s="20">
        <v>2018</v>
      </c>
      <c r="H86" s="20" t="s">
        <v>393</v>
      </c>
      <c r="I86" s="20" t="str">
        <f t="shared" si="0"/>
        <v>Recent</v>
      </c>
      <c r="J86" s="20"/>
      <c r="K86" s="20"/>
      <c r="L86" s="20"/>
      <c r="M86" s="18"/>
      <c r="N86" s="18"/>
      <c r="O86" s="18"/>
      <c r="P86" s="18"/>
      <c r="Q86" s="18"/>
      <c r="R86" s="18"/>
      <c r="S86" s="18"/>
      <c r="T86" s="18"/>
      <c r="U86" s="18"/>
      <c r="V86" s="18"/>
      <c r="W86" s="18"/>
      <c r="X86" s="18"/>
      <c r="Y86" s="18"/>
      <c r="Z86" s="18"/>
      <c r="AA86" s="18"/>
      <c r="AB86" s="18"/>
    </row>
    <row r="87" spans="1:28" ht="12.5" customHeight="1">
      <c r="A87" s="19">
        <v>86</v>
      </c>
      <c r="B87" s="20" t="s">
        <v>628</v>
      </c>
      <c r="C87" s="20" t="s">
        <v>225</v>
      </c>
      <c r="D87" s="21" t="s">
        <v>629</v>
      </c>
      <c r="E87" s="20" t="s">
        <v>630</v>
      </c>
      <c r="F87" s="20" t="s">
        <v>631</v>
      </c>
      <c r="G87" s="20">
        <v>2021</v>
      </c>
      <c r="H87" s="20" t="s">
        <v>632</v>
      </c>
      <c r="I87" s="20" t="str">
        <f t="shared" si="0"/>
        <v>Recent</v>
      </c>
      <c r="J87" s="20"/>
      <c r="K87" s="20"/>
      <c r="L87" s="20"/>
      <c r="M87" s="18"/>
      <c r="N87" s="18"/>
      <c r="O87" s="18"/>
      <c r="P87" s="18"/>
      <c r="Q87" s="18"/>
      <c r="R87" s="18"/>
      <c r="S87" s="18"/>
      <c r="T87" s="18"/>
      <c r="U87" s="18"/>
      <c r="V87" s="18"/>
      <c r="W87" s="18"/>
      <c r="X87" s="18"/>
      <c r="Y87" s="18"/>
      <c r="Z87" s="18"/>
      <c r="AA87" s="18"/>
      <c r="AB87" s="18"/>
    </row>
    <row r="88" spans="1:28" ht="12.5" customHeight="1">
      <c r="A88" s="19">
        <v>87</v>
      </c>
      <c r="B88" s="20" t="s">
        <v>633</v>
      </c>
      <c r="C88" s="20" t="s">
        <v>225</v>
      </c>
      <c r="D88" s="21" t="s">
        <v>634</v>
      </c>
      <c r="E88" s="20" t="s">
        <v>635</v>
      </c>
      <c r="F88" s="20" t="s">
        <v>636</v>
      </c>
      <c r="G88" s="20">
        <v>2021</v>
      </c>
      <c r="H88" s="20" t="s">
        <v>637</v>
      </c>
      <c r="I88" s="20" t="str">
        <f t="shared" si="0"/>
        <v>Recent</v>
      </c>
      <c r="J88" s="20"/>
      <c r="K88" s="20"/>
      <c r="L88" s="20"/>
      <c r="M88" s="18"/>
      <c r="N88" s="18"/>
      <c r="O88" s="18"/>
      <c r="P88" s="18"/>
      <c r="Q88" s="18"/>
      <c r="R88" s="18"/>
      <c r="S88" s="18"/>
      <c r="T88" s="18"/>
      <c r="U88" s="18"/>
      <c r="V88" s="18"/>
      <c r="W88" s="18"/>
      <c r="X88" s="18"/>
      <c r="Y88" s="18"/>
      <c r="Z88" s="18"/>
      <c r="AA88" s="18"/>
      <c r="AB88" s="18"/>
    </row>
    <row r="89" spans="1:28" ht="12.5" customHeight="1">
      <c r="A89" s="19">
        <v>88</v>
      </c>
      <c r="B89" s="20" t="s">
        <v>638</v>
      </c>
      <c r="C89" s="20" t="s">
        <v>225</v>
      </c>
      <c r="D89" s="21" t="s">
        <v>639</v>
      </c>
      <c r="E89" s="20" t="s">
        <v>640</v>
      </c>
      <c r="F89" s="20" t="s">
        <v>636</v>
      </c>
      <c r="G89" s="20">
        <v>2021</v>
      </c>
      <c r="H89" s="20" t="s">
        <v>641</v>
      </c>
      <c r="I89" s="20" t="str">
        <f t="shared" si="0"/>
        <v>Recent</v>
      </c>
      <c r="J89" s="20"/>
      <c r="K89" s="20"/>
      <c r="L89" s="20"/>
      <c r="M89" s="18"/>
      <c r="N89" s="18"/>
      <c r="O89" s="18"/>
      <c r="P89" s="18"/>
      <c r="Q89" s="18"/>
      <c r="R89" s="18"/>
      <c r="S89" s="18"/>
      <c r="T89" s="18"/>
      <c r="U89" s="18"/>
      <c r="V89" s="18"/>
      <c r="W89" s="18"/>
      <c r="X89" s="18"/>
      <c r="Y89" s="18"/>
      <c r="Z89" s="18"/>
      <c r="AA89" s="18"/>
      <c r="AB89" s="18"/>
    </row>
    <row r="90" spans="1:28" ht="12.5" customHeight="1">
      <c r="A90" s="19">
        <v>89</v>
      </c>
      <c r="B90" s="20" t="s">
        <v>642</v>
      </c>
      <c r="C90" s="20" t="s">
        <v>225</v>
      </c>
      <c r="D90" s="21" t="s">
        <v>643</v>
      </c>
      <c r="E90" s="20" t="s">
        <v>644</v>
      </c>
      <c r="F90" s="20" t="s">
        <v>645</v>
      </c>
      <c r="G90" s="20">
        <v>2014</v>
      </c>
      <c r="H90" s="20" t="s">
        <v>646</v>
      </c>
      <c r="I90" s="20" t="str">
        <f t="shared" si="0"/>
        <v>Middle</v>
      </c>
      <c r="J90" s="20"/>
      <c r="K90" s="20"/>
      <c r="L90" s="20"/>
      <c r="M90" s="18"/>
      <c r="N90" s="18"/>
      <c r="O90" s="18"/>
      <c r="P90" s="18"/>
      <c r="Q90" s="18"/>
      <c r="R90" s="18"/>
      <c r="S90" s="18"/>
      <c r="T90" s="18"/>
      <c r="U90" s="18"/>
      <c r="V90" s="18"/>
      <c r="W90" s="18"/>
      <c r="X90" s="18"/>
      <c r="Y90" s="18"/>
      <c r="Z90" s="18"/>
      <c r="AA90" s="18"/>
      <c r="AB90" s="18"/>
    </row>
    <row r="91" spans="1:28" ht="12.5" customHeight="1">
      <c r="A91" s="19">
        <v>90</v>
      </c>
      <c r="B91" s="20" t="s">
        <v>647</v>
      </c>
      <c r="C91" s="20" t="s">
        <v>225</v>
      </c>
      <c r="D91" s="21" t="s">
        <v>648</v>
      </c>
      <c r="E91" s="20" t="s">
        <v>649</v>
      </c>
      <c r="F91" s="20" t="s">
        <v>645</v>
      </c>
      <c r="G91" s="20">
        <v>2014</v>
      </c>
      <c r="H91" s="20" t="s">
        <v>646</v>
      </c>
      <c r="I91" s="20" t="str">
        <f t="shared" si="0"/>
        <v>Middle</v>
      </c>
      <c r="J91" s="20"/>
      <c r="K91" s="20"/>
      <c r="L91" s="20"/>
      <c r="M91" s="18"/>
      <c r="N91" s="18"/>
      <c r="O91" s="18"/>
      <c r="P91" s="18"/>
      <c r="Q91" s="18"/>
      <c r="R91" s="18"/>
      <c r="S91" s="18"/>
      <c r="T91" s="18"/>
      <c r="U91" s="18"/>
      <c r="V91" s="18"/>
      <c r="W91" s="18"/>
      <c r="X91" s="18"/>
      <c r="Y91" s="18"/>
      <c r="Z91" s="18"/>
      <c r="AA91" s="18"/>
      <c r="AB91" s="18"/>
    </row>
    <row r="92" spans="1:28" ht="12.5" customHeight="1">
      <c r="A92" s="19">
        <v>91</v>
      </c>
      <c r="B92" s="20" t="s">
        <v>650</v>
      </c>
      <c r="C92" s="20" t="s">
        <v>225</v>
      </c>
      <c r="D92" s="21" t="s">
        <v>651</v>
      </c>
      <c r="E92" s="20" t="s">
        <v>652</v>
      </c>
      <c r="F92" s="20" t="s">
        <v>653</v>
      </c>
      <c r="G92" s="20">
        <v>2020</v>
      </c>
      <c r="H92" s="20" t="s">
        <v>654</v>
      </c>
      <c r="I92" s="20" t="str">
        <f t="shared" si="0"/>
        <v>Recent</v>
      </c>
      <c r="J92" s="20"/>
      <c r="K92" s="20"/>
      <c r="L92" s="20"/>
      <c r="M92" s="18"/>
      <c r="N92" s="18"/>
      <c r="O92" s="18"/>
      <c r="P92" s="18"/>
      <c r="Q92" s="18"/>
      <c r="R92" s="18"/>
      <c r="S92" s="18"/>
      <c r="T92" s="18"/>
      <c r="U92" s="18"/>
      <c r="V92" s="18"/>
      <c r="W92" s="18"/>
      <c r="X92" s="18"/>
      <c r="Y92" s="18"/>
      <c r="Z92" s="18"/>
      <c r="AA92" s="18"/>
      <c r="AB92" s="18"/>
    </row>
    <row r="93" spans="1:28" ht="12.5" customHeight="1">
      <c r="A93" s="19">
        <v>92</v>
      </c>
      <c r="B93" s="20" t="s">
        <v>655</v>
      </c>
      <c r="C93" s="20" t="s">
        <v>225</v>
      </c>
      <c r="D93" s="21" t="s">
        <v>656</v>
      </c>
      <c r="E93" s="20" t="s">
        <v>657</v>
      </c>
      <c r="F93" s="20" t="s">
        <v>658</v>
      </c>
      <c r="G93" s="20">
        <v>2020</v>
      </c>
      <c r="H93" s="20" t="s">
        <v>659</v>
      </c>
      <c r="I93" s="20" t="str">
        <f t="shared" si="0"/>
        <v>Recent</v>
      </c>
      <c r="J93" s="20"/>
      <c r="K93" s="20"/>
      <c r="L93" s="20"/>
      <c r="M93" s="18"/>
      <c r="N93" s="18"/>
      <c r="O93" s="18"/>
      <c r="P93" s="18"/>
      <c r="Q93" s="18"/>
      <c r="R93" s="18"/>
      <c r="S93" s="18"/>
      <c r="T93" s="18"/>
      <c r="U93" s="18"/>
      <c r="V93" s="18"/>
      <c r="W93" s="18"/>
      <c r="X93" s="18"/>
      <c r="Y93" s="18"/>
      <c r="Z93" s="18"/>
      <c r="AA93" s="18"/>
      <c r="AB93" s="18"/>
    </row>
    <row r="94" spans="1:28" ht="12.5" customHeight="1">
      <c r="A94" s="19">
        <v>93</v>
      </c>
      <c r="B94" s="20" t="s">
        <v>660</v>
      </c>
      <c r="C94" s="20" t="s">
        <v>225</v>
      </c>
      <c r="D94" s="21" t="s">
        <v>661</v>
      </c>
      <c r="E94" s="20" t="s">
        <v>662</v>
      </c>
      <c r="F94" s="20" t="s">
        <v>663</v>
      </c>
      <c r="G94" s="20">
        <v>2009</v>
      </c>
      <c r="H94" s="20" t="s">
        <v>510</v>
      </c>
      <c r="I94" s="20" t="str">
        <f t="shared" si="0"/>
        <v>Early</v>
      </c>
      <c r="J94" s="20"/>
      <c r="K94" s="20"/>
      <c r="L94" s="20"/>
      <c r="M94" s="18"/>
      <c r="N94" s="18"/>
      <c r="O94" s="18"/>
      <c r="P94" s="18"/>
      <c r="Q94" s="18"/>
      <c r="R94" s="18"/>
      <c r="S94" s="18"/>
      <c r="T94" s="18"/>
      <c r="U94" s="18"/>
      <c r="V94" s="18"/>
      <c r="W94" s="18"/>
      <c r="X94" s="18"/>
      <c r="Y94" s="18"/>
      <c r="Z94" s="18"/>
      <c r="AA94" s="18"/>
      <c r="AB94" s="18"/>
    </row>
    <row r="95" spans="1:28" ht="12.5" customHeight="1">
      <c r="A95" s="19">
        <v>94</v>
      </c>
      <c r="B95" s="20" t="s">
        <v>664</v>
      </c>
      <c r="C95" s="20" t="s">
        <v>225</v>
      </c>
      <c r="D95" s="21" t="s">
        <v>665</v>
      </c>
      <c r="E95" s="20" t="s">
        <v>666</v>
      </c>
      <c r="F95" s="20" t="s">
        <v>667</v>
      </c>
      <c r="G95" s="20">
        <v>2018</v>
      </c>
      <c r="H95" s="20" t="s">
        <v>668</v>
      </c>
      <c r="I95" s="20" t="str">
        <f t="shared" si="0"/>
        <v>Recent</v>
      </c>
      <c r="J95" s="20"/>
      <c r="K95" s="20"/>
      <c r="L95" s="20"/>
      <c r="M95" s="18"/>
      <c r="N95" s="18"/>
      <c r="O95" s="18"/>
      <c r="P95" s="18"/>
      <c r="Q95" s="18"/>
      <c r="R95" s="18"/>
      <c r="S95" s="18"/>
      <c r="T95" s="18"/>
      <c r="U95" s="18"/>
      <c r="V95" s="18"/>
      <c r="W95" s="18"/>
      <c r="X95" s="18"/>
      <c r="Y95" s="18"/>
      <c r="Z95" s="18"/>
      <c r="AA95" s="18"/>
      <c r="AB95" s="18"/>
    </row>
    <row r="96" spans="1:28" ht="12.5" customHeight="1">
      <c r="A96" s="19">
        <v>95</v>
      </c>
      <c r="B96" s="20" t="s">
        <v>669</v>
      </c>
      <c r="C96" s="20" t="s">
        <v>225</v>
      </c>
      <c r="D96" s="21" t="s">
        <v>670</v>
      </c>
      <c r="E96" s="20" t="s">
        <v>671</v>
      </c>
      <c r="F96" s="20" t="s">
        <v>672</v>
      </c>
      <c r="G96" s="20">
        <v>2015</v>
      </c>
      <c r="H96" s="20" t="s">
        <v>351</v>
      </c>
      <c r="I96" s="20" t="str">
        <f t="shared" si="0"/>
        <v>Middle</v>
      </c>
      <c r="J96" s="20"/>
      <c r="K96" s="20"/>
      <c r="L96" s="20"/>
      <c r="M96" s="18"/>
      <c r="N96" s="18"/>
      <c r="O96" s="18"/>
      <c r="P96" s="18"/>
      <c r="Q96" s="18"/>
      <c r="R96" s="18"/>
      <c r="S96" s="18"/>
      <c r="T96" s="18"/>
      <c r="U96" s="18"/>
      <c r="V96" s="18"/>
      <c r="W96" s="18"/>
      <c r="X96" s="18"/>
      <c r="Y96" s="18"/>
      <c r="Z96" s="18"/>
      <c r="AA96" s="18"/>
      <c r="AB96" s="18"/>
    </row>
    <row r="97" spans="1:28" ht="12.5" customHeight="1">
      <c r="A97" s="19">
        <v>96</v>
      </c>
      <c r="B97" s="20" t="s">
        <v>673</v>
      </c>
      <c r="C97" s="20" t="s">
        <v>225</v>
      </c>
      <c r="D97" s="21" t="s">
        <v>674</v>
      </c>
      <c r="E97" s="20" t="s">
        <v>675</v>
      </c>
      <c r="F97" s="20" t="s">
        <v>676</v>
      </c>
      <c r="G97" s="20">
        <v>2021</v>
      </c>
      <c r="H97" s="20" t="s">
        <v>677</v>
      </c>
      <c r="I97" s="20" t="str">
        <f t="shared" si="0"/>
        <v>Recent</v>
      </c>
      <c r="J97" s="20"/>
      <c r="K97" s="20"/>
      <c r="L97" s="20"/>
      <c r="M97" s="18"/>
      <c r="N97" s="18"/>
      <c r="O97" s="18"/>
      <c r="P97" s="18"/>
      <c r="Q97" s="18"/>
      <c r="R97" s="18"/>
      <c r="S97" s="18"/>
      <c r="T97" s="18"/>
      <c r="U97" s="18"/>
      <c r="V97" s="18"/>
      <c r="W97" s="18"/>
      <c r="X97" s="18"/>
      <c r="Y97" s="18"/>
      <c r="Z97" s="18"/>
      <c r="AA97" s="18"/>
      <c r="AB97" s="18"/>
    </row>
    <row r="98" spans="1:28" ht="12.5" customHeight="1">
      <c r="A98" s="19">
        <v>97</v>
      </c>
      <c r="B98" s="20" t="s">
        <v>678</v>
      </c>
      <c r="C98" s="20" t="s">
        <v>225</v>
      </c>
      <c r="D98" s="21" t="s">
        <v>679</v>
      </c>
      <c r="E98" s="20" t="s">
        <v>680</v>
      </c>
      <c r="F98" s="20" t="s">
        <v>681</v>
      </c>
      <c r="G98" s="20">
        <v>2019</v>
      </c>
      <c r="H98" s="20" t="s">
        <v>327</v>
      </c>
      <c r="I98" s="20" t="str">
        <f t="shared" si="0"/>
        <v>Recent</v>
      </c>
      <c r="J98" s="20"/>
      <c r="K98" s="20"/>
      <c r="L98" s="20"/>
      <c r="M98" s="18"/>
      <c r="N98" s="18"/>
      <c r="O98" s="18"/>
      <c r="P98" s="18"/>
      <c r="Q98" s="18"/>
      <c r="R98" s="18"/>
      <c r="S98" s="18"/>
      <c r="T98" s="18"/>
      <c r="U98" s="18"/>
      <c r="V98" s="18"/>
      <c r="W98" s="18"/>
      <c r="X98" s="18"/>
      <c r="Y98" s="18"/>
      <c r="Z98" s="18"/>
      <c r="AA98" s="18"/>
      <c r="AB98" s="18"/>
    </row>
    <row r="99" spans="1:28" ht="12.5" customHeight="1">
      <c r="A99" s="19">
        <v>98</v>
      </c>
      <c r="B99" s="20" t="s">
        <v>682</v>
      </c>
      <c r="C99" s="20" t="s">
        <v>225</v>
      </c>
      <c r="D99" s="21" t="s">
        <v>683</v>
      </c>
      <c r="E99" s="20" t="s">
        <v>684</v>
      </c>
      <c r="F99" s="20" t="s">
        <v>685</v>
      </c>
      <c r="G99" s="20">
        <v>2020</v>
      </c>
      <c r="H99" s="20" t="s">
        <v>686</v>
      </c>
      <c r="I99" s="20" t="str">
        <f t="shared" si="0"/>
        <v>Recent</v>
      </c>
      <c r="J99" s="20"/>
      <c r="K99" s="20"/>
      <c r="L99" s="20"/>
      <c r="M99" s="18"/>
      <c r="N99" s="18"/>
      <c r="O99" s="18"/>
      <c r="P99" s="18"/>
      <c r="Q99" s="18"/>
      <c r="R99" s="18"/>
      <c r="S99" s="18"/>
      <c r="T99" s="18"/>
      <c r="U99" s="18"/>
      <c r="V99" s="18"/>
      <c r="W99" s="18"/>
      <c r="X99" s="18"/>
      <c r="Y99" s="18"/>
      <c r="Z99" s="18"/>
      <c r="AA99" s="18"/>
      <c r="AB99" s="18"/>
    </row>
    <row r="100" spans="1:28" ht="12.5" customHeight="1">
      <c r="A100" s="19">
        <v>99</v>
      </c>
      <c r="B100" s="20" t="s">
        <v>687</v>
      </c>
      <c r="C100" s="20" t="s">
        <v>225</v>
      </c>
      <c r="D100" s="21" t="s">
        <v>688</v>
      </c>
      <c r="E100" s="20" t="s">
        <v>689</v>
      </c>
      <c r="F100" s="20" t="s">
        <v>690</v>
      </c>
      <c r="G100" s="20">
        <v>2017</v>
      </c>
      <c r="H100" s="20" t="s">
        <v>351</v>
      </c>
      <c r="I100" s="20" t="str">
        <f t="shared" si="0"/>
        <v>Middle</v>
      </c>
      <c r="J100" s="20"/>
      <c r="K100" s="20"/>
      <c r="L100" s="20"/>
      <c r="M100" s="18"/>
      <c r="N100" s="18"/>
      <c r="O100" s="18"/>
      <c r="P100" s="18"/>
      <c r="Q100" s="18"/>
      <c r="R100" s="18"/>
      <c r="S100" s="18"/>
      <c r="T100" s="18"/>
      <c r="U100" s="18"/>
      <c r="V100" s="18"/>
      <c r="W100" s="18"/>
      <c r="X100" s="18"/>
      <c r="Y100" s="18"/>
      <c r="Z100" s="18"/>
      <c r="AA100" s="18"/>
      <c r="AB100" s="18"/>
    </row>
    <row r="101" spans="1:28" ht="12.5" customHeight="1">
      <c r="A101" s="19">
        <v>100</v>
      </c>
      <c r="B101" s="20" t="s">
        <v>691</v>
      </c>
      <c r="C101" s="20" t="s">
        <v>225</v>
      </c>
      <c r="D101" s="21" t="s">
        <v>692</v>
      </c>
      <c r="E101" s="20" t="s">
        <v>693</v>
      </c>
      <c r="F101" s="20" t="s">
        <v>694</v>
      </c>
      <c r="G101" s="20">
        <v>2017</v>
      </c>
      <c r="H101" s="20" t="s">
        <v>695</v>
      </c>
      <c r="I101" s="20" t="str">
        <f t="shared" si="0"/>
        <v>Middle</v>
      </c>
      <c r="J101" s="20"/>
      <c r="K101" s="20"/>
      <c r="L101" s="20"/>
      <c r="M101" s="18"/>
      <c r="N101" s="18"/>
      <c r="O101" s="18"/>
      <c r="P101" s="18"/>
      <c r="Q101" s="18"/>
      <c r="R101" s="18"/>
      <c r="S101" s="18"/>
      <c r="T101" s="18"/>
      <c r="U101" s="18"/>
      <c r="V101" s="18"/>
      <c r="W101" s="18"/>
      <c r="X101" s="18"/>
      <c r="Y101" s="18"/>
      <c r="Z101" s="18"/>
      <c r="AA101" s="18"/>
      <c r="AB101" s="18"/>
    </row>
    <row r="102" spans="1:28" ht="12.5" customHeight="1">
      <c r="A102" s="19">
        <v>101</v>
      </c>
      <c r="B102" s="20" t="s">
        <v>696</v>
      </c>
      <c r="C102" s="20" t="s">
        <v>225</v>
      </c>
      <c r="D102" s="21" t="s">
        <v>697</v>
      </c>
      <c r="E102" s="20" t="s">
        <v>698</v>
      </c>
      <c r="F102" s="20" t="s">
        <v>699</v>
      </c>
      <c r="G102" s="20">
        <v>2012</v>
      </c>
      <c r="H102" s="20" t="s">
        <v>229</v>
      </c>
      <c r="I102" s="20" t="str">
        <f t="shared" si="0"/>
        <v>Middle</v>
      </c>
      <c r="J102" s="20"/>
      <c r="K102" s="20"/>
      <c r="L102" s="20"/>
      <c r="M102" s="18"/>
      <c r="N102" s="18"/>
      <c r="O102" s="18"/>
      <c r="P102" s="18"/>
      <c r="Q102" s="18"/>
      <c r="R102" s="18"/>
      <c r="S102" s="18"/>
      <c r="T102" s="18"/>
      <c r="U102" s="18"/>
      <c r="V102" s="18"/>
      <c r="W102" s="18"/>
      <c r="X102" s="18"/>
      <c r="Y102" s="18"/>
      <c r="Z102" s="18"/>
      <c r="AA102" s="18"/>
      <c r="AB102" s="18"/>
    </row>
    <row r="103" spans="1:28" ht="12.5" customHeight="1">
      <c r="A103" s="19">
        <v>102</v>
      </c>
      <c r="B103" s="20" t="s">
        <v>700</v>
      </c>
      <c r="C103" s="20" t="s">
        <v>225</v>
      </c>
      <c r="D103" s="21" t="s">
        <v>701</v>
      </c>
      <c r="E103" s="20" t="s">
        <v>702</v>
      </c>
      <c r="F103" s="20" t="s">
        <v>703</v>
      </c>
      <c r="G103" s="20">
        <v>2010</v>
      </c>
      <c r="H103" s="20" t="s">
        <v>668</v>
      </c>
      <c r="I103" s="20" t="str">
        <f t="shared" si="0"/>
        <v>Middle</v>
      </c>
      <c r="J103" s="20"/>
      <c r="K103" s="20"/>
      <c r="L103" s="20"/>
      <c r="M103" s="18"/>
      <c r="N103" s="18"/>
      <c r="O103" s="18"/>
      <c r="P103" s="18"/>
      <c r="Q103" s="18"/>
      <c r="R103" s="18"/>
      <c r="S103" s="18"/>
      <c r="T103" s="18"/>
      <c r="U103" s="18"/>
      <c r="V103" s="18"/>
      <c r="W103" s="18"/>
      <c r="X103" s="18"/>
      <c r="Y103" s="18"/>
      <c r="Z103" s="18"/>
      <c r="AA103" s="18"/>
      <c r="AB103" s="18"/>
    </row>
    <row r="104" spans="1:28" ht="12.5" customHeight="1">
      <c r="A104" s="19">
        <v>103</v>
      </c>
      <c r="B104" s="20" t="s">
        <v>704</v>
      </c>
      <c r="C104" s="20" t="s">
        <v>225</v>
      </c>
      <c r="D104" s="21" t="s">
        <v>705</v>
      </c>
      <c r="E104" s="20" t="s">
        <v>706</v>
      </c>
      <c r="F104" s="20" t="s">
        <v>707</v>
      </c>
      <c r="G104" s="20">
        <v>2021</v>
      </c>
      <c r="H104" s="20" t="s">
        <v>708</v>
      </c>
      <c r="I104" s="20" t="str">
        <f t="shared" si="0"/>
        <v>Recent</v>
      </c>
      <c r="J104" s="20"/>
      <c r="K104" s="20"/>
      <c r="L104" s="20"/>
      <c r="M104" s="18"/>
      <c r="N104" s="18"/>
      <c r="O104" s="18"/>
      <c r="P104" s="18"/>
      <c r="Q104" s="18"/>
      <c r="R104" s="18"/>
      <c r="S104" s="18"/>
      <c r="T104" s="18"/>
      <c r="U104" s="18"/>
      <c r="V104" s="18"/>
      <c r="W104" s="18"/>
      <c r="X104" s="18"/>
      <c r="Y104" s="18"/>
      <c r="Z104" s="18"/>
      <c r="AA104" s="18"/>
      <c r="AB104" s="18"/>
    </row>
    <row r="105" spans="1:28" ht="12.5" customHeight="1">
      <c r="A105" s="19">
        <v>104</v>
      </c>
      <c r="B105" s="20" t="s">
        <v>709</v>
      </c>
      <c r="C105" s="20" t="s">
        <v>225</v>
      </c>
      <c r="D105" s="21" t="s">
        <v>710</v>
      </c>
      <c r="E105" s="20" t="s">
        <v>711</v>
      </c>
      <c r="F105" s="20" t="s">
        <v>712</v>
      </c>
      <c r="G105" s="20">
        <v>2013</v>
      </c>
      <c r="H105" s="20" t="s">
        <v>713</v>
      </c>
      <c r="I105" s="20" t="str">
        <f t="shared" si="0"/>
        <v>Middle</v>
      </c>
      <c r="J105" s="20"/>
      <c r="K105" s="20"/>
      <c r="L105" s="20"/>
      <c r="M105" s="18"/>
      <c r="N105" s="18"/>
      <c r="O105" s="18"/>
      <c r="P105" s="18"/>
      <c r="Q105" s="18"/>
      <c r="R105" s="18"/>
      <c r="S105" s="18"/>
      <c r="T105" s="18"/>
      <c r="U105" s="18"/>
      <c r="V105" s="18"/>
      <c r="W105" s="18"/>
      <c r="X105" s="18"/>
      <c r="Y105" s="18"/>
      <c r="Z105" s="18"/>
      <c r="AA105" s="18"/>
      <c r="AB105" s="18"/>
    </row>
    <row r="106" spans="1:28" ht="12.5" customHeight="1">
      <c r="A106" s="19">
        <v>105</v>
      </c>
      <c r="B106" s="20" t="s">
        <v>714</v>
      </c>
      <c r="C106" s="20" t="s">
        <v>225</v>
      </c>
      <c r="D106" s="21" t="s">
        <v>715</v>
      </c>
      <c r="E106" s="20" t="s">
        <v>716</v>
      </c>
      <c r="F106" s="20" t="s">
        <v>717</v>
      </c>
      <c r="G106" s="20">
        <v>2015</v>
      </c>
      <c r="H106" s="20" t="s">
        <v>718</v>
      </c>
      <c r="I106" s="20" t="str">
        <f t="shared" si="0"/>
        <v>Middle</v>
      </c>
      <c r="J106" s="20"/>
      <c r="K106" s="20"/>
      <c r="L106" s="20"/>
      <c r="M106" s="18"/>
      <c r="N106" s="18"/>
      <c r="O106" s="18"/>
      <c r="P106" s="18"/>
      <c r="Q106" s="18"/>
      <c r="R106" s="18"/>
      <c r="S106" s="18"/>
      <c r="T106" s="18"/>
      <c r="U106" s="18"/>
      <c r="V106" s="18"/>
      <c r="W106" s="18"/>
      <c r="X106" s="18"/>
      <c r="Y106" s="18"/>
      <c r="Z106" s="18"/>
      <c r="AA106" s="18"/>
      <c r="AB106" s="18"/>
    </row>
    <row r="107" spans="1:28" ht="12.5" customHeight="1">
      <c r="A107" s="19">
        <v>106</v>
      </c>
      <c r="B107" s="20" t="s">
        <v>719</v>
      </c>
      <c r="C107" s="20" t="s">
        <v>225</v>
      </c>
      <c r="D107" s="21" t="s">
        <v>720</v>
      </c>
      <c r="E107" s="20" t="s">
        <v>721</v>
      </c>
      <c r="F107" s="20" t="s">
        <v>722</v>
      </c>
      <c r="G107" s="20">
        <v>2020</v>
      </c>
      <c r="H107" s="20" t="s">
        <v>234</v>
      </c>
      <c r="I107" s="20" t="str">
        <f t="shared" si="0"/>
        <v>Recent</v>
      </c>
      <c r="J107" s="20"/>
      <c r="K107" s="20"/>
      <c r="L107" s="20"/>
      <c r="M107" s="18"/>
      <c r="N107" s="18"/>
      <c r="O107" s="18"/>
      <c r="P107" s="18"/>
      <c r="Q107" s="18"/>
      <c r="R107" s="18"/>
      <c r="S107" s="18"/>
      <c r="T107" s="18"/>
      <c r="U107" s="18"/>
      <c r="V107" s="18"/>
      <c r="W107" s="18"/>
      <c r="X107" s="18"/>
      <c r="Y107" s="18"/>
      <c r="Z107" s="18"/>
      <c r="AA107" s="18"/>
      <c r="AB107" s="18"/>
    </row>
    <row r="108" spans="1:28" ht="12.5" customHeight="1">
      <c r="A108" s="19">
        <v>107</v>
      </c>
      <c r="B108" s="20" t="s">
        <v>723</v>
      </c>
      <c r="C108" s="20" t="s">
        <v>225</v>
      </c>
      <c r="D108" s="21" t="s">
        <v>724</v>
      </c>
      <c r="E108" s="20" t="s">
        <v>725</v>
      </c>
      <c r="F108" s="20" t="s">
        <v>726</v>
      </c>
      <c r="G108" s="20">
        <v>2019</v>
      </c>
      <c r="H108" s="20" t="s">
        <v>618</v>
      </c>
      <c r="I108" s="20" t="str">
        <f t="shared" si="0"/>
        <v>Recent</v>
      </c>
      <c r="J108" s="20"/>
      <c r="K108" s="20"/>
      <c r="L108" s="20"/>
      <c r="M108" s="18"/>
      <c r="N108" s="18"/>
      <c r="O108" s="18"/>
      <c r="P108" s="18"/>
      <c r="Q108" s="18"/>
      <c r="R108" s="18"/>
      <c r="S108" s="18"/>
      <c r="T108" s="18"/>
      <c r="U108" s="18"/>
      <c r="V108" s="18"/>
      <c r="W108" s="18"/>
      <c r="X108" s="18"/>
      <c r="Y108" s="18"/>
      <c r="Z108" s="18"/>
      <c r="AA108" s="18"/>
      <c r="AB108" s="18"/>
    </row>
    <row r="109" spans="1:28" ht="12.5" customHeight="1">
      <c r="A109" s="19">
        <v>108</v>
      </c>
      <c r="B109" s="20" t="s">
        <v>727</v>
      </c>
      <c r="C109" s="20" t="s">
        <v>225</v>
      </c>
      <c r="D109" s="21" t="s">
        <v>728</v>
      </c>
      <c r="E109" s="20" t="s">
        <v>729</v>
      </c>
      <c r="F109" s="20" t="s">
        <v>730</v>
      </c>
      <c r="G109" s="20">
        <v>2021</v>
      </c>
      <c r="H109" s="20" t="s">
        <v>332</v>
      </c>
      <c r="I109" s="20" t="str">
        <f t="shared" si="0"/>
        <v>Recent</v>
      </c>
      <c r="J109" s="20"/>
      <c r="K109" s="20"/>
      <c r="L109" s="20"/>
      <c r="M109" s="18"/>
      <c r="N109" s="18"/>
      <c r="O109" s="18"/>
      <c r="P109" s="18"/>
      <c r="Q109" s="18"/>
      <c r="R109" s="18"/>
      <c r="S109" s="18"/>
      <c r="T109" s="18"/>
      <c r="U109" s="18"/>
      <c r="V109" s="18"/>
      <c r="W109" s="18"/>
      <c r="X109" s="18"/>
      <c r="Y109" s="18"/>
      <c r="Z109" s="18"/>
      <c r="AA109" s="18"/>
      <c r="AB109" s="18"/>
    </row>
    <row r="110" spans="1:28" ht="12.5" customHeight="1">
      <c r="A110" s="19">
        <v>109</v>
      </c>
      <c r="B110" s="20" t="s">
        <v>731</v>
      </c>
      <c r="C110" s="20" t="s">
        <v>225</v>
      </c>
      <c r="D110" s="21" t="s">
        <v>732</v>
      </c>
      <c r="E110" s="20" t="s">
        <v>733</v>
      </c>
      <c r="F110" s="20" t="s">
        <v>734</v>
      </c>
      <c r="G110" s="20">
        <v>2022</v>
      </c>
      <c r="H110" s="20" t="s">
        <v>735</v>
      </c>
      <c r="I110" s="20" t="str">
        <f t="shared" si="0"/>
        <v>Recent</v>
      </c>
      <c r="J110" s="20"/>
      <c r="K110" s="20"/>
      <c r="L110" s="20"/>
      <c r="M110" s="18"/>
      <c r="N110" s="18"/>
      <c r="O110" s="18"/>
      <c r="P110" s="18"/>
      <c r="Q110" s="18"/>
      <c r="R110" s="18"/>
      <c r="S110" s="18"/>
      <c r="T110" s="18"/>
      <c r="U110" s="18"/>
      <c r="V110" s="18"/>
      <c r="W110" s="18"/>
      <c r="X110" s="18"/>
      <c r="Y110" s="18"/>
      <c r="Z110" s="18"/>
      <c r="AA110" s="18"/>
      <c r="AB110" s="18"/>
    </row>
    <row r="111" spans="1:28" ht="12.5" customHeight="1">
      <c r="A111" s="19">
        <v>110</v>
      </c>
      <c r="B111" s="20" t="s">
        <v>736</v>
      </c>
      <c r="C111" s="20" t="s">
        <v>225</v>
      </c>
      <c r="D111" s="21" t="s">
        <v>737</v>
      </c>
      <c r="E111" s="20" t="s">
        <v>738</v>
      </c>
      <c r="F111" s="20" t="s">
        <v>739</v>
      </c>
      <c r="G111" s="20">
        <v>2010</v>
      </c>
      <c r="H111" s="20" t="s">
        <v>740</v>
      </c>
      <c r="I111" s="20" t="str">
        <f t="shared" si="0"/>
        <v>Middle</v>
      </c>
      <c r="J111" s="20"/>
      <c r="K111" s="20"/>
      <c r="L111" s="20"/>
      <c r="M111" s="18"/>
      <c r="N111" s="18"/>
      <c r="O111" s="18"/>
      <c r="P111" s="18"/>
      <c r="Q111" s="18"/>
      <c r="R111" s="18"/>
      <c r="S111" s="18"/>
      <c r="T111" s="18"/>
      <c r="U111" s="18"/>
      <c r="V111" s="18"/>
      <c r="W111" s="18"/>
      <c r="X111" s="18"/>
      <c r="Y111" s="18"/>
      <c r="Z111" s="18"/>
      <c r="AA111" s="18"/>
      <c r="AB111" s="18"/>
    </row>
    <row r="112" spans="1:28" ht="12.5" customHeight="1">
      <c r="A112" s="19">
        <v>111</v>
      </c>
      <c r="B112" s="20" t="s">
        <v>741</v>
      </c>
      <c r="C112" s="20" t="s">
        <v>225</v>
      </c>
      <c r="D112" s="21" t="s">
        <v>742</v>
      </c>
      <c r="E112" s="20" t="s">
        <v>743</v>
      </c>
      <c r="F112" s="20" t="s">
        <v>744</v>
      </c>
      <c r="G112" s="20">
        <v>2002</v>
      </c>
      <c r="H112" s="20" t="s">
        <v>745</v>
      </c>
      <c r="I112" s="20" t="str">
        <f t="shared" si="0"/>
        <v>Early</v>
      </c>
      <c r="J112" s="20"/>
      <c r="K112" s="20"/>
      <c r="L112" s="20"/>
      <c r="M112" s="18"/>
      <c r="N112" s="18"/>
      <c r="O112" s="18"/>
      <c r="P112" s="18"/>
      <c r="Q112" s="18"/>
      <c r="R112" s="18"/>
      <c r="S112" s="18"/>
      <c r="T112" s="18"/>
      <c r="U112" s="18"/>
      <c r="V112" s="18"/>
      <c r="W112" s="18"/>
      <c r="X112" s="18"/>
      <c r="Y112" s="18"/>
      <c r="Z112" s="18"/>
      <c r="AA112" s="18"/>
      <c r="AB112" s="18"/>
    </row>
    <row r="113" spans="1:28" ht="12.5" customHeight="1">
      <c r="A113" s="19">
        <v>112</v>
      </c>
      <c r="B113" s="20" t="s">
        <v>746</v>
      </c>
      <c r="C113" s="20" t="s">
        <v>225</v>
      </c>
      <c r="D113" s="21" t="s">
        <v>747</v>
      </c>
      <c r="E113" s="20" t="s">
        <v>748</v>
      </c>
      <c r="F113" s="20" t="s">
        <v>749</v>
      </c>
      <c r="G113" s="20">
        <v>2015</v>
      </c>
      <c r="H113" s="20" t="s">
        <v>750</v>
      </c>
      <c r="I113" s="20" t="str">
        <f t="shared" si="0"/>
        <v>Middle</v>
      </c>
      <c r="J113" s="20"/>
      <c r="K113" s="20"/>
      <c r="L113" s="20"/>
      <c r="M113" s="18"/>
      <c r="N113" s="18"/>
      <c r="O113" s="18"/>
      <c r="P113" s="18"/>
      <c r="Q113" s="18"/>
      <c r="R113" s="18"/>
      <c r="S113" s="18"/>
      <c r="T113" s="18"/>
      <c r="U113" s="18"/>
      <c r="V113" s="18"/>
      <c r="W113" s="18"/>
      <c r="X113" s="18"/>
      <c r="Y113" s="18"/>
      <c r="Z113" s="18"/>
      <c r="AA113" s="18"/>
      <c r="AB113" s="18"/>
    </row>
    <row r="114" spans="1:28" ht="12.5" customHeight="1">
      <c r="A114" s="19">
        <v>113</v>
      </c>
      <c r="B114" s="20" t="s">
        <v>751</v>
      </c>
      <c r="C114" s="20" t="s">
        <v>225</v>
      </c>
      <c r="D114" s="21" t="s">
        <v>752</v>
      </c>
      <c r="E114" s="20" t="s">
        <v>753</v>
      </c>
      <c r="F114" s="20" t="s">
        <v>754</v>
      </c>
      <c r="G114" s="20">
        <v>2010</v>
      </c>
      <c r="H114" s="20" t="s">
        <v>388</v>
      </c>
      <c r="I114" s="20" t="str">
        <f t="shared" si="0"/>
        <v>Middle</v>
      </c>
      <c r="J114" s="20"/>
      <c r="K114" s="20"/>
      <c r="L114" s="20"/>
      <c r="M114" s="18"/>
      <c r="N114" s="18"/>
      <c r="O114" s="18"/>
      <c r="P114" s="18"/>
      <c r="Q114" s="18"/>
      <c r="R114" s="18"/>
      <c r="S114" s="18"/>
      <c r="T114" s="18"/>
      <c r="U114" s="18"/>
      <c r="V114" s="18"/>
      <c r="W114" s="18"/>
      <c r="X114" s="18"/>
      <c r="Y114" s="18"/>
      <c r="Z114" s="18"/>
      <c r="AA114" s="18"/>
      <c r="AB114" s="18"/>
    </row>
    <row r="115" spans="1:28" ht="12.5" customHeight="1">
      <c r="A115" s="19">
        <v>114</v>
      </c>
      <c r="B115" s="28" t="s">
        <v>755</v>
      </c>
      <c r="C115" s="28" t="s">
        <v>756</v>
      </c>
      <c r="D115" s="29" t="s">
        <v>757</v>
      </c>
      <c r="E115" s="28" t="s">
        <v>758</v>
      </c>
      <c r="F115" s="28" t="s">
        <v>759</v>
      </c>
      <c r="G115" s="28">
        <v>2018</v>
      </c>
      <c r="H115" s="28" t="s">
        <v>760</v>
      </c>
      <c r="I115" s="28" t="str">
        <f t="shared" si="0"/>
        <v>Recent</v>
      </c>
      <c r="J115" s="28" t="str">
        <f t="shared" ref="J115:J251" si="1">IF(D115&lt;&gt;"","Yes","No")</f>
        <v>Yes</v>
      </c>
      <c r="K115" s="28"/>
      <c r="L115" s="28"/>
      <c r="M115" s="18"/>
      <c r="N115" s="18"/>
      <c r="O115" s="18"/>
      <c r="P115" s="18"/>
      <c r="Q115" s="18"/>
      <c r="R115" s="18"/>
      <c r="S115" s="18"/>
      <c r="T115" s="18"/>
      <c r="U115" s="18"/>
      <c r="V115" s="18"/>
      <c r="W115" s="18"/>
      <c r="X115" s="18"/>
      <c r="Y115" s="18"/>
      <c r="Z115" s="18"/>
      <c r="AA115" s="18"/>
      <c r="AB115" s="18"/>
    </row>
    <row r="116" spans="1:28" ht="12.5" customHeight="1">
      <c r="A116" s="19">
        <v>115</v>
      </c>
      <c r="B116" s="28" t="s">
        <v>761</v>
      </c>
      <c r="C116" s="28" t="s">
        <v>756</v>
      </c>
      <c r="D116" s="29" t="s">
        <v>762</v>
      </c>
      <c r="E116" s="28" t="s">
        <v>763</v>
      </c>
      <c r="F116" s="28" t="s">
        <v>764</v>
      </c>
      <c r="G116" s="28">
        <v>2017</v>
      </c>
      <c r="H116" s="28" t="s">
        <v>765</v>
      </c>
      <c r="I116" s="28" t="str">
        <f t="shared" si="0"/>
        <v>Middle</v>
      </c>
      <c r="J116" s="28" t="str">
        <f t="shared" si="1"/>
        <v>Yes</v>
      </c>
      <c r="K116" s="28"/>
      <c r="L116" s="28"/>
      <c r="M116" s="18"/>
      <c r="N116" s="18"/>
      <c r="O116" s="18"/>
      <c r="P116" s="18"/>
      <c r="Q116" s="18"/>
      <c r="R116" s="18"/>
      <c r="S116" s="18"/>
      <c r="T116" s="18"/>
      <c r="U116" s="18"/>
      <c r="V116" s="18"/>
      <c r="W116" s="18"/>
      <c r="X116" s="18"/>
      <c r="Y116" s="18"/>
      <c r="Z116" s="18"/>
      <c r="AA116" s="18"/>
      <c r="AB116" s="18"/>
    </row>
    <row r="117" spans="1:28" ht="12.5" customHeight="1">
      <c r="A117" s="19">
        <v>116</v>
      </c>
      <c r="B117" s="28" t="s">
        <v>766</v>
      </c>
      <c r="C117" s="28" t="s">
        <v>756</v>
      </c>
      <c r="D117" s="29" t="s">
        <v>767</v>
      </c>
      <c r="E117" s="28" t="s">
        <v>768</v>
      </c>
      <c r="F117" s="28" t="s">
        <v>769</v>
      </c>
      <c r="G117" s="28">
        <v>1996</v>
      </c>
      <c r="H117" s="28" t="s">
        <v>770</v>
      </c>
      <c r="I117" s="28" t="str">
        <f t="shared" si="0"/>
        <v>Early</v>
      </c>
      <c r="J117" s="28" t="str">
        <f t="shared" si="1"/>
        <v>Yes</v>
      </c>
      <c r="K117" s="28"/>
      <c r="L117" s="28"/>
      <c r="M117" s="18"/>
      <c r="N117" s="18"/>
      <c r="O117" s="18"/>
      <c r="P117" s="18"/>
      <c r="Q117" s="18"/>
      <c r="R117" s="18"/>
      <c r="S117" s="18"/>
      <c r="T117" s="18"/>
      <c r="U117" s="18"/>
      <c r="V117" s="18"/>
      <c r="W117" s="18"/>
      <c r="X117" s="18"/>
      <c r="Y117" s="18"/>
      <c r="Z117" s="18"/>
      <c r="AA117" s="18"/>
      <c r="AB117" s="18"/>
    </row>
    <row r="118" spans="1:28" ht="12.5" customHeight="1">
      <c r="A118" s="19">
        <v>117</v>
      </c>
      <c r="B118" s="28" t="s">
        <v>771</v>
      </c>
      <c r="C118" s="28" t="s">
        <v>756</v>
      </c>
      <c r="D118" s="29" t="s">
        <v>772</v>
      </c>
      <c r="E118" s="28" t="s">
        <v>773</v>
      </c>
      <c r="F118" s="28" t="s">
        <v>774</v>
      </c>
      <c r="G118" s="28">
        <v>2002</v>
      </c>
      <c r="H118" s="28" t="s">
        <v>775</v>
      </c>
      <c r="I118" s="28" t="str">
        <f t="shared" si="0"/>
        <v>Early</v>
      </c>
      <c r="J118" s="28" t="str">
        <f t="shared" si="1"/>
        <v>Yes</v>
      </c>
      <c r="K118" s="28"/>
      <c r="L118" s="28"/>
      <c r="M118" s="18"/>
      <c r="N118" s="18"/>
      <c r="O118" s="18"/>
      <c r="P118" s="18"/>
      <c r="Q118" s="18"/>
      <c r="R118" s="18"/>
      <c r="S118" s="18"/>
      <c r="T118" s="18"/>
      <c r="U118" s="18"/>
      <c r="V118" s="18"/>
      <c r="W118" s="18"/>
      <c r="X118" s="18"/>
      <c r="Y118" s="18"/>
      <c r="Z118" s="18"/>
      <c r="AA118" s="18"/>
      <c r="AB118" s="18"/>
    </row>
    <row r="119" spans="1:28" ht="12.5" customHeight="1">
      <c r="A119" s="19">
        <v>118</v>
      </c>
      <c r="B119" s="28" t="s">
        <v>776</v>
      </c>
      <c r="C119" s="28" t="s">
        <v>756</v>
      </c>
      <c r="D119" s="29" t="s">
        <v>777</v>
      </c>
      <c r="E119" s="28" t="s">
        <v>778</v>
      </c>
      <c r="F119" s="28" t="s">
        <v>779</v>
      </c>
      <c r="G119" s="28">
        <v>2015</v>
      </c>
      <c r="H119" s="28" t="s">
        <v>770</v>
      </c>
      <c r="I119" s="28" t="str">
        <f t="shared" si="0"/>
        <v>Middle</v>
      </c>
      <c r="J119" s="28" t="str">
        <f t="shared" si="1"/>
        <v>Yes</v>
      </c>
      <c r="K119" s="28"/>
      <c r="L119" s="28"/>
      <c r="M119" s="18"/>
      <c r="N119" s="18"/>
      <c r="O119" s="18"/>
      <c r="P119" s="18"/>
      <c r="Q119" s="18"/>
      <c r="R119" s="18"/>
      <c r="S119" s="18"/>
      <c r="T119" s="18"/>
      <c r="U119" s="18"/>
      <c r="V119" s="18"/>
      <c r="W119" s="18"/>
      <c r="X119" s="18"/>
      <c r="Y119" s="18"/>
      <c r="Z119" s="18"/>
      <c r="AA119" s="18"/>
      <c r="AB119" s="18"/>
    </row>
    <row r="120" spans="1:28" ht="12.5" customHeight="1">
      <c r="A120" s="19">
        <v>119</v>
      </c>
      <c r="B120" s="28" t="s">
        <v>780</v>
      </c>
      <c r="C120" s="28" t="s">
        <v>756</v>
      </c>
      <c r="D120" s="29" t="s">
        <v>781</v>
      </c>
      <c r="E120" s="28" t="s">
        <v>782</v>
      </c>
      <c r="F120" s="28" t="s">
        <v>783</v>
      </c>
      <c r="G120" s="28">
        <v>2002</v>
      </c>
      <c r="H120" s="28" t="s">
        <v>770</v>
      </c>
      <c r="I120" s="28" t="str">
        <f t="shared" si="0"/>
        <v>Early</v>
      </c>
      <c r="J120" s="28" t="str">
        <f t="shared" si="1"/>
        <v>Yes</v>
      </c>
      <c r="K120" s="28"/>
      <c r="L120" s="28"/>
      <c r="M120" s="18"/>
      <c r="N120" s="18"/>
      <c r="O120" s="18"/>
      <c r="P120" s="18"/>
      <c r="Q120" s="18"/>
      <c r="R120" s="18"/>
      <c r="S120" s="18"/>
      <c r="T120" s="18"/>
      <c r="U120" s="18"/>
      <c r="V120" s="18"/>
      <c r="W120" s="18"/>
      <c r="X120" s="18"/>
      <c r="Y120" s="18"/>
      <c r="Z120" s="18"/>
      <c r="AA120" s="18"/>
      <c r="AB120" s="18"/>
    </row>
    <row r="121" spans="1:28" ht="12.5" customHeight="1">
      <c r="A121" s="19">
        <v>120</v>
      </c>
      <c r="B121" s="28" t="s">
        <v>784</v>
      </c>
      <c r="C121" s="28" t="s">
        <v>756</v>
      </c>
      <c r="D121" s="29" t="s">
        <v>785</v>
      </c>
      <c r="E121" s="28" t="s">
        <v>786</v>
      </c>
      <c r="F121" s="28" t="s">
        <v>787</v>
      </c>
      <c r="G121" s="28">
        <v>2007</v>
      </c>
      <c r="H121" s="28" t="s">
        <v>788</v>
      </c>
      <c r="I121" s="28" t="str">
        <f t="shared" si="0"/>
        <v>Early</v>
      </c>
      <c r="J121" s="28" t="str">
        <f t="shared" si="1"/>
        <v>Yes</v>
      </c>
      <c r="K121" s="28"/>
      <c r="L121" s="28"/>
      <c r="M121" s="18"/>
      <c r="N121" s="18"/>
      <c r="O121" s="18"/>
      <c r="P121" s="18"/>
      <c r="Q121" s="18"/>
      <c r="R121" s="18"/>
      <c r="S121" s="18"/>
      <c r="T121" s="18"/>
      <c r="U121" s="18"/>
      <c r="V121" s="18"/>
      <c r="W121" s="18"/>
      <c r="X121" s="18"/>
      <c r="Y121" s="18"/>
      <c r="Z121" s="18"/>
      <c r="AA121" s="18"/>
      <c r="AB121" s="18"/>
    </row>
    <row r="122" spans="1:28" ht="12.5" customHeight="1">
      <c r="A122" s="23">
        <v>121</v>
      </c>
      <c r="B122" s="23" t="s">
        <v>789</v>
      </c>
      <c r="C122" s="23" t="s">
        <v>756</v>
      </c>
      <c r="D122" s="23"/>
      <c r="E122" s="23" t="s">
        <v>790</v>
      </c>
      <c r="F122" s="23" t="s">
        <v>787</v>
      </c>
      <c r="G122" s="23">
        <v>2016</v>
      </c>
      <c r="H122" s="23" t="s">
        <v>791</v>
      </c>
      <c r="I122" s="23" t="str">
        <f t="shared" si="0"/>
        <v>Middle</v>
      </c>
      <c r="J122" s="23" t="str">
        <f t="shared" si="1"/>
        <v>No</v>
      </c>
      <c r="K122" s="23"/>
      <c r="L122" s="23"/>
      <c r="M122" s="23"/>
      <c r="N122" s="23"/>
      <c r="O122" s="23"/>
      <c r="P122" s="23"/>
      <c r="Q122" s="23"/>
      <c r="R122" s="23"/>
      <c r="S122" s="23"/>
      <c r="T122" s="23"/>
      <c r="U122" s="23"/>
      <c r="V122" s="23"/>
      <c r="W122" s="23"/>
      <c r="X122" s="23"/>
      <c r="Y122" s="23"/>
      <c r="Z122" s="23"/>
      <c r="AA122" s="23"/>
      <c r="AB122" s="23"/>
    </row>
    <row r="123" spans="1:28" ht="12.5" customHeight="1">
      <c r="A123" s="19">
        <v>122</v>
      </c>
      <c r="B123" s="28" t="s">
        <v>792</v>
      </c>
      <c r="C123" s="28" t="s">
        <v>756</v>
      </c>
      <c r="D123" s="29" t="s">
        <v>793</v>
      </c>
      <c r="E123" s="28" t="s">
        <v>794</v>
      </c>
      <c r="F123" s="28" t="s">
        <v>787</v>
      </c>
      <c r="G123" s="28">
        <v>2020</v>
      </c>
      <c r="H123" s="28" t="s">
        <v>795</v>
      </c>
      <c r="I123" s="28" t="str">
        <f t="shared" si="0"/>
        <v>Recent</v>
      </c>
      <c r="J123" s="28" t="str">
        <f t="shared" si="1"/>
        <v>Yes</v>
      </c>
      <c r="K123" s="28"/>
      <c r="L123" s="28"/>
      <c r="M123" s="18"/>
      <c r="N123" s="18"/>
      <c r="O123" s="18"/>
      <c r="P123" s="18"/>
      <c r="Q123" s="18"/>
      <c r="R123" s="18"/>
      <c r="S123" s="18"/>
      <c r="T123" s="18"/>
      <c r="U123" s="18"/>
      <c r="V123" s="18"/>
      <c r="W123" s="18"/>
      <c r="X123" s="18"/>
      <c r="Y123" s="18"/>
      <c r="Z123" s="18"/>
      <c r="AA123" s="18"/>
      <c r="AB123" s="18"/>
    </row>
    <row r="124" spans="1:28" ht="12.5" customHeight="1">
      <c r="A124" s="19">
        <v>123</v>
      </c>
      <c r="B124" s="28" t="s">
        <v>796</v>
      </c>
      <c r="C124" s="28" t="s">
        <v>756</v>
      </c>
      <c r="D124" s="29" t="s">
        <v>797</v>
      </c>
      <c r="E124" s="28" t="s">
        <v>798</v>
      </c>
      <c r="F124" s="28" t="s">
        <v>799</v>
      </c>
      <c r="G124" s="28">
        <v>2007</v>
      </c>
      <c r="H124" s="28" t="s">
        <v>800</v>
      </c>
      <c r="I124" s="28" t="str">
        <f t="shared" si="0"/>
        <v>Early</v>
      </c>
      <c r="J124" s="28" t="str">
        <f t="shared" si="1"/>
        <v>Yes</v>
      </c>
      <c r="K124" s="28"/>
      <c r="L124" s="28"/>
      <c r="M124" s="18"/>
      <c r="N124" s="18"/>
      <c r="O124" s="18"/>
      <c r="P124" s="18"/>
      <c r="Q124" s="18"/>
      <c r="R124" s="18"/>
      <c r="S124" s="18"/>
      <c r="T124" s="18"/>
      <c r="U124" s="18"/>
      <c r="V124" s="18"/>
      <c r="W124" s="18"/>
      <c r="X124" s="18"/>
      <c r="Y124" s="18"/>
      <c r="Z124" s="18"/>
      <c r="AA124" s="18"/>
      <c r="AB124" s="18"/>
    </row>
    <row r="125" spans="1:28" ht="12.5" customHeight="1">
      <c r="A125" s="19">
        <v>124</v>
      </c>
      <c r="B125" s="28" t="s">
        <v>801</v>
      </c>
      <c r="C125" s="28" t="s">
        <v>756</v>
      </c>
      <c r="D125" s="29" t="s">
        <v>802</v>
      </c>
      <c r="E125" s="28" t="s">
        <v>803</v>
      </c>
      <c r="F125" s="28" t="s">
        <v>804</v>
      </c>
      <c r="G125" s="28">
        <v>2004</v>
      </c>
      <c r="H125" s="28" t="s">
        <v>805</v>
      </c>
      <c r="I125" s="28" t="str">
        <f t="shared" si="0"/>
        <v>Early</v>
      </c>
      <c r="J125" s="28" t="str">
        <f t="shared" si="1"/>
        <v>Yes</v>
      </c>
      <c r="K125" s="28"/>
      <c r="L125" s="28"/>
      <c r="M125" s="18"/>
      <c r="N125" s="18"/>
      <c r="O125" s="18"/>
      <c r="P125" s="18"/>
      <c r="Q125" s="18"/>
      <c r="R125" s="18"/>
      <c r="S125" s="18"/>
      <c r="T125" s="18"/>
      <c r="U125" s="18"/>
      <c r="V125" s="18"/>
      <c r="W125" s="18"/>
      <c r="X125" s="18"/>
      <c r="Y125" s="18"/>
      <c r="Z125" s="18"/>
      <c r="AA125" s="18"/>
      <c r="AB125" s="18"/>
    </row>
    <row r="126" spans="1:28" ht="12.5" customHeight="1">
      <c r="A126" s="19">
        <v>125</v>
      </c>
      <c r="B126" s="28" t="s">
        <v>806</v>
      </c>
      <c r="C126" s="28" t="s">
        <v>756</v>
      </c>
      <c r="D126" s="29" t="s">
        <v>807</v>
      </c>
      <c r="E126" s="28" t="s">
        <v>808</v>
      </c>
      <c r="F126" s="28" t="s">
        <v>809</v>
      </c>
      <c r="G126" s="28">
        <v>2006</v>
      </c>
      <c r="H126" s="28" t="s">
        <v>770</v>
      </c>
      <c r="I126" s="28" t="str">
        <f t="shared" si="0"/>
        <v>Early</v>
      </c>
      <c r="J126" s="28" t="str">
        <f t="shared" si="1"/>
        <v>Yes</v>
      </c>
      <c r="K126" s="28"/>
      <c r="L126" s="28"/>
      <c r="M126" s="18"/>
      <c r="N126" s="18"/>
      <c r="O126" s="18"/>
      <c r="P126" s="18"/>
      <c r="Q126" s="18"/>
      <c r="R126" s="18"/>
      <c r="S126" s="18"/>
      <c r="T126" s="18"/>
      <c r="U126" s="18"/>
      <c r="V126" s="18"/>
      <c r="W126" s="18"/>
      <c r="X126" s="18"/>
      <c r="Y126" s="18"/>
      <c r="Z126" s="18"/>
      <c r="AA126" s="18"/>
      <c r="AB126" s="18"/>
    </row>
    <row r="127" spans="1:28" ht="12.5" customHeight="1">
      <c r="A127" s="19">
        <v>126</v>
      </c>
      <c r="B127" s="28" t="s">
        <v>810</v>
      </c>
      <c r="C127" s="28" t="s">
        <v>756</v>
      </c>
      <c r="D127" s="29" t="s">
        <v>811</v>
      </c>
      <c r="E127" s="28" t="s">
        <v>812</v>
      </c>
      <c r="F127" s="28" t="s">
        <v>813</v>
      </c>
      <c r="G127" s="28">
        <v>2016</v>
      </c>
      <c r="H127" s="28" t="s">
        <v>814</v>
      </c>
      <c r="I127" s="28" t="str">
        <f t="shared" si="0"/>
        <v>Middle</v>
      </c>
      <c r="J127" s="28" t="str">
        <f t="shared" si="1"/>
        <v>Yes</v>
      </c>
      <c r="K127" s="28"/>
      <c r="L127" s="28"/>
      <c r="M127" s="18"/>
      <c r="N127" s="18"/>
      <c r="O127" s="18"/>
      <c r="P127" s="18"/>
      <c r="Q127" s="18"/>
      <c r="R127" s="18"/>
      <c r="S127" s="18"/>
      <c r="T127" s="18"/>
      <c r="U127" s="18"/>
      <c r="V127" s="18"/>
      <c r="W127" s="18"/>
      <c r="X127" s="18"/>
      <c r="Y127" s="18"/>
      <c r="Z127" s="18"/>
      <c r="AA127" s="18"/>
      <c r="AB127" s="18"/>
    </row>
    <row r="128" spans="1:28" ht="12.5" customHeight="1">
      <c r="A128" s="19">
        <v>127</v>
      </c>
      <c r="B128" s="28" t="s">
        <v>815</v>
      </c>
      <c r="C128" s="28" t="s">
        <v>756</v>
      </c>
      <c r="D128" s="29" t="s">
        <v>816</v>
      </c>
      <c r="E128" s="28" t="s">
        <v>817</v>
      </c>
      <c r="F128" s="28" t="s">
        <v>818</v>
      </c>
      <c r="G128" s="28">
        <v>2016</v>
      </c>
      <c r="H128" s="28" t="s">
        <v>805</v>
      </c>
      <c r="I128" s="28" t="str">
        <f t="shared" si="0"/>
        <v>Middle</v>
      </c>
      <c r="J128" s="28" t="str">
        <f t="shared" si="1"/>
        <v>Yes</v>
      </c>
      <c r="K128" s="28"/>
      <c r="L128" s="28"/>
      <c r="M128" s="18"/>
      <c r="N128" s="18"/>
      <c r="O128" s="18"/>
      <c r="P128" s="18"/>
      <c r="Q128" s="18"/>
      <c r="R128" s="18"/>
      <c r="S128" s="18"/>
      <c r="T128" s="18"/>
      <c r="U128" s="18"/>
      <c r="V128" s="18"/>
      <c r="W128" s="18"/>
      <c r="X128" s="18"/>
      <c r="Y128" s="18"/>
      <c r="Z128" s="18"/>
      <c r="AA128" s="18"/>
      <c r="AB128" s="18"/>
    </row>
    <row r="129" spans="1:28" ht="12.5" customHeight="1">
      <c r="A129" s="23">
        <v>128</v>
      </c>
      <c r="B129" s="23" t="s">
        <v>819</v>
      </c>
      <c r="C129" s="23" t="s">
        <v>756</v>
      </c>
      <c r="D129" s="23"/>
      <c r="E129" s="23" t="s">
        <v>820</v>
      </c>
      <c r="F129" s="23" t="s">
        <v>821</v>
      </c>
      <c r="G129" s="23">
        <v>1999</v>
      </c>
      <c r="H129" s="23" t="s">
        <v>800</v>
      </c>
      <c r="I129" s="23" t="str">
        <f t="shared" si="0"/>
        <v>Early</v>
      </c>
      <c r="J129" s="23" t="str">
        <f t="shared" si="1"/>
        <v>No</v>
      </c>
      <c r="K129" s="23"/>
      <c r="L129" s="23"/>
      <c r="M129" s="23"/>
      <c r="N129" s="23"/>
      <c r="O129" s="23"/>
      <c r="P129" s="23"/>
      <c r="Q129" s="23"/>
      <c r="R129" s="23"/>
      <c r="S129" s="23"/>
      <c r="T129" s="23"/>
      <c r="U129" s="23"/>
      <c r="V129" s="23"/>
      <c r="W129" s="23"/>
      <c r="X129" s="23"/>
      <c r="Y129" s="23"/>
      <c r="Z129" s="23"/>
      <c r="AA129" s="23"/>
      <c r="AB129" s="23"/>
    </row>
    <row r="130" spans="1:28" ht="12.5" customHeight="1">
      <c r="A130" s="19">
        <v>129</v>
      </c>
      <c r="B130" s="28" t="s">
        <v>822</v>
      </c>
      <c r="C130" s="28" t="s">
        <v>756</v>
      </c>
      <c r="D130" s="29" t="s">
        <v>823</v>
      </c>
      <c r="E130" s="28" t="s">
        <v>824</v>
      </c>
      <c r="F130" s="28" t="s">
        <v>825</v>
      </c>
      <c r="G130" s="28">
        <v>2019</v>
      </c>
      <c r="H130" s="28" t="s">
        <v>814</v>
      </c>
      <c r="I130" s="28" t="str">
        <f t="shared" si="0"/>
        <v>Recent</v>
      </c>
      <c r="J130" s="28" t="str">
        <f t="shared" si="1"/>
        <v>Yes</v>
      </c>
      <c r="K130" s="28"/>
      <c r="L130" s="28"/>
      <c r="M130" s="18"/>
      <c r="N130" s="18"/>
      <c r="O130" s="18"/>
      <c r="P130" s="18"/>
      <c r="Q130" s="18"/>
      <c r="R130" s="18"/>
      <c r="S130" s="18"/>
      <c r="T130" s="18"/>
      <c r="U130" s="18"/>
      <c r="V130" s="18"/>
      <c r="W130" s="18"/>
      <c r="X130" s="18"/>
      <c r="Y130" s="18"/>
      <c r="Z130" s="18"/>
      <c r="AA130" s="18"/>
      <c r="AB130" s="18"/>
    </row>
    <row r="131" spans="1:28" ht="12.5" customHeight="1">
      <c r="A131" s="23">
        <v>130</v>
      </c>
      <c r="B131" s="23" t="s">
        <v>826</v>
      </c>
      <c r="C131" s="23" t="s">
        <v>756</v>
      </c>
      <c r="D131" s="23"/>
      <c r="E131" s="23" t="s">
        <v>827</v>
      </c>
      <c r="F131" s="23" t="s">
        <v>828</v>
      </c>
      <c r="G131" s="23">
        <v>2008</v>
      </c>
      <c r="H131" s="23" t="s">
        <v>829</v>
      </c>
      <c r="I131" s="23" t="str">
        <f t="shared" si="0"/>
        <v>Early</v>
      </c>
      <c r="J131" s="23" t="str">
        <f t="shared" si="1"/>
        <v>No</v>
      </c>
      <c r="K131" s="23"/>
      <c r="L131" s="23"/>
      <c r="M131" s="23"/>
      <c r="N131" s="23"/>
      <c r="O131" s="23"/>
      <c r="P131" s="23"/>
      <c r="Q131" s="23"/>
      <c r="R131" s="23"/>
      <c r="S131" s="23"/>
      <c r="T131" s="23"/>
      <c r="U131" s="23"/>
      <c r="V131" s="23"/>
      <c r="W131" s="23"/>
      <c r="X131" s="23"/>
      <c r="Y131" s="23"/>
      <c r="Z131" s="23"/>
      <c r="AA131" s="23"/>
      <c r="AB131" s="23"/>
    </row>
    <row r="132" spans="1:28" ht="12.5" customHeight="1">
      <c r="A132" s="19">
        <v>131</v>
      </c>
      <c r="B132" s="28" t="s">
        <v>830</v>
      </c>
      <c r="C132" s="28" t="s">
        <v>756</v>
      </c>
      <c r="D132" s="29" t="s">
        <v>831</v>
      </c>
      <c r="E132" s="28" t="s">
        <v>832</v>
      </c>
      <c r="F132" s="28" t="s">
        <v>833</v>
      </c>
      <c r="G132" s="28">
        <v>2019</v>
      </c>
      <c r="H132" s="28" t="s">
        <v>834</v>
      </c>
      <c r="I132" s="28" t="str">
        <f t="shared" si="0"/>
        <v>Recent</v>
      </c>
      <c r="J132" s="28" t="str">
        <f t="shared" si="1"/>
        <v>Yes</v>
      </c>
      <c r="K132" s="28"/>
      <c r="L132" s="28"/>
      <c r="M132" s="18"/>
      <c r="N132" s="18"/>
      <c r="O132" s="18"/>
      <c r="P132" s="18"/>
      <c r="Q132" s="18"/>
      <c r="R132" s="18"/>
      <c r="S132" s="18"/>
      <c r="T132" s="18"/>
      <c r="U132" s="18"/>
      <c r="V132" s="18"/>
      <c r="W132" s="18"/>
      <c r="X132" s="18"/>
      <c r="Y132" s="18"/>
      <c r="Z132" s="18"/>
      <c r="AA132" s="18"/>
      <c r="AB132" s="18"/>
    </row>
    <row r="133" spans="1:28" ht="12.5" customHeight="1">
      <c r="A133" s="19">
        <v>132</v>
      </c>
      <c r="B133" s="28" t="s">
        <v>835</v>
      </c>
      <c r="C133" s="28" t="s">
        <v>756</v>
      </c>
      <c r="D133" s="29" t="s">
        <v>836</v>
      </c>
      <c r="E133" s="28" t="s">
        <v>837</v>
      </c>
      <c r="F133" s="28" t="s">
        <v>838</v>
      </c>
      <c r="G133" s="28">
        <v>2014</v>
      </c>
      <c r="H133" s="28" t="s">
        <v>770</v>
      </c>
      <c r="I133" s="28" t="str">
        <f t="shared" si="0"/>
        <v>Middle</v>
      </c>
      <c r="J133" s="28" t="str">
        <f t="shared" si="1"/>
        <v>Yes</v>
      </c>
      <c r="K133" s="28"/>
      <c r="L133" s="28"/>
      <c r="M133" s="18"/>
      <c r="N133" s="18"/>
      <c r="O133" s="18"/>
      <c r="P133" s="18"/>
      <c r="Q133" s="18"/>
      <c r="R133" s="18"/>
      <c r="S133" s="18"/>
      <c r="T133" s="18"/>
      <c r="U133" s="18"/>
      <c r="V133" s="18"/>
      <c r="W133" s="18"/>
      <c r="X133" s="18"/>
      <c r="Y133" s="18"/>
      <c r="Z133" s="18"/>
      <c r="AA133" s="18"/>
      <c r="AB133" s="18"/>
    </row>
    <row r="134" spans="1:28" ht="12.5" customHeight="1">
      <c r="A134" s="19">
        <v>133</v>
      </c>
      <c r="B134" s="28" t="s">
        <v>839</v>
      </c>
      <c r="C134" s="28" t="s">
        <v>756</v>
      </c>
      <c r="D134" s="29" t="s">
        <v>840</v>
      </c>
      <c r="E134" s="28" t="s">
        <v>841</v>
      </c>
      <c r="F134" s="28" t="s">
        <v>842</v>
      </c>
      <c r="G134" s="28">
        <v>1995</v>
      </c>
      <c r="H134" s="28" t="s">
        <v>770</v>
      </c>
      <c r="I134" s="28" t="str">
        <f t="shared" si="0"/>
        <v>Early</v>
      </c>
      <c r="J134" s="28" t="str">
        <f t="shared" si="1"/>
        <v>Yes</v>
      </c>
      <c r="K134" s="28"/>
      <c r="L134" s="28"/>
      <c r="M134" s="18"/>
      <c r="N134" s="18"/>
      <c r="O134" s="18"/>
      <c r="P134" s="18"/>
      <c r="Q134" s="18"/>
      <c r="R134" s="18"/>
      <c r="S134" s="18"/>
      <c r="T134" s="18"/>
      <c r="U134" s="18"/>
      <c r="V134" s="18"/>
      <c r="W134" s="18"/>
      <c r="X134" s="18"/>
      <c r="Y134" s="18"/>
      <c r="Z134" s="18"/>
      <c r="AA134" s="18"/>
      <c r="AB134" s="18"/>
    </row>
    <row r="135" spans="1:28" ht="12.5" customHeight="1">
      <c r="A135" s="23">
        <v>134</v>
      </c>
      <c r="B135" s="23" t="s">
        <v>843</v>
      </c>
      <c r="C135" s="23" t="s">
        <v>756</v>
      </c>
      <c r="D135" s="23"/>
      <c r="E135" s="23" t="s">
        <v>844</v>
      </c>
      <c r="F135" s="23" t="s">
        <v>845</v>
      </c>
      <c r="G135" s="23">
        <v>2018</v>
      </c>
      <c r="H135" s="23" t="s">
        <v>846</v>
      </c>
      <c r="I135" s="23" t="str">
        <f t="shared" si="0"/>
        <v>Recent</v>
      </c>
      <c r="J135" s="23" t="str">
        <f t="shared" si="1"/>
        <v>No</v>
      </c>
      <c r="K135" s="23"/>
      <c r="L135" s="23"/>
      <c r="M135" s="23"/>
      <c r="N135" s="23"/>
      <c r="O135" s="23"/>
      <c r="P135" s="23"/>
      <c r="Q135" s="23"/>
      <c r="R135" s="23"/>
      <c r="S135" s="23"/>
      <c r="T135" s="23"/>
      <c r="U135" s="23"/>
      <c r="V135" s="23"/>
      <c r="W135" s="23"/>
      <c r="X135" s="23"/>
      <c r="Y135" s="23"/>
      <c r="Z135" s="23"/>
      <c r="AA135" s="23"/>
      <c r="AB135" s="23"/>
    </row>
    <row r="136" spans="1:28" ht="12.5" customHeight="1">
      <c r="A136" s="23">
        <v>135</v>
      </c>
      <c r="B136" s="23" t="s">
        <v>847</v>
      </c>
      <c r="C136" s="23" t="s">
        <v>756</v>
      </c>
      <c r="D136" s="23"/>
      <c r="E136" s="23" t="s">
        <v>848</v>
      </c>
      <c r="F136" s="23" t="s">
        <v>849</v>
      </c>
      <c r="G136" s="23">
        <v>2015</v>
      </c>
      <c r="H136" s="23" t="s">
        <v>846</v>
      </c>
      <c r="I136" s="23" t="str">
        <f t="shared" si="0"/>
        <v>Middle</v>
      </c>
      <c r="J136" s="23" t="str">
        <f t="shared" si="1"/>
        <v>No</v>
      </c>
      <c r="K136" s="23"/>
      <c r="L136" s="23"/>
      <c r="M136" s="23"/>
      <c r="N136" s="23"/>
      <c r="O136" s="23"/>
      <c r="P136" s="23"/>
      <c r="Q136" s="23"/>
      <c r="R136" s="23"/>
      <c r="S136" s="23"/>
      <c r="T136" s="23"/>
      <c r="U136" s="23"/>
      <c r="V136" s="23"/>
      <c r="W136" s="23"/>
      <c r="X136" s="23"/>
      <c r="Y136" s="23"/>
      <c r="Z136" s="23"/>
      <c r="AA136" s="23"/>
      <c r="AB136" s="23"/>
    </row>
    <row r="137" spans="1:28" ht="12.5" customHeight="1">
      <c r="A137" s="19">
        <v>136</v>
      </c>
      <c r="B137" s="28" t="s">
        <v>850</v>
      </c>
      <c r="C137" s="28" t="s">
        <v>756</v>
      </c>
      <c r="D137" s="29" t="s">
        <v>851</v>
      </c>
      <c r="E137" s="28" t="s">
        <v>852</v>
      </c>
      <c r="F137" s="28" t="s">
        <v>853</v>
      </c>
      <c r="G137" s="28">
        <v>2007</v>
      </c>
      <c r="H137" s="28" t="s">
        <v>800</v>
      </c>
      <c r="I137" s="28" t="str">
        <f t="shared" si="0"/>
        <v>Early</v>
      </c>
      <c r="J137" s="28" t="str">
        <f t="shared" si="1"/>
        <v>Yes</v>
      </c>
      <c r="K137" s="28"/>
      <c r="L137" s="28"/>
      <c r="M137" s="18"/>
      <c r="N137" s="18"/>
      <c r="O137" s="18"/>
      <c r="P137" s="18"/>
      <c r="Q137" s="18"/>
      <c r="R137" s="18"/>
      <c r="S137" s="18"/>
      <c r="T137" s="18"/>
      <c r="U137" s="18"/>
      <c r="V137" s="18"/>
      <c r="W137" s="18"/>
      <c r="X137" s="18"/>
      <c r="Y137" s="18"/>
      <c r="Z137" s="18"/>
      <c r="AA137" s="18"/>
      <c r="AB137" s="18"/>
    </row>
    <row r="138" spans="1:28" ht="12.5" customHeight="1">
      <c r="A138" s="19">
        <v>137</v>
      </c>
      <c r="B138" s="28" t="s">
        <v>854</v>
      </c>
      <c r="C138" s="28" t="s">
        <v>756</v>
      </c>
      <c r="D138" s="29" t="s">
        <v>855</v>
      </c>
      <c r="E138" s="28" t="s">
        <v>856</v>
      </c>
      <c r="F138" s="28" t="s">
        <v>857</v>
      </c>
      <c r="G138" s="28">
        <v>1994</v>
      </c>
      <c r="H138" s="28" t="s">
        <v>805</v>
      </c>
      <c r="I138" s="28" t="str">
        <f t="shared" si="0"/>
        <v>Early</v>
      </c>
      <c r="J138" s="28" t="str">
        <f t="shared" si="1"/>
        <v>Yes</v>
      </c>
      <c r="K138" s="28"/>
      <c r="L138" s="28"/>
      <c r="M138" s="18"/>
      <c r="N138" s="18"/>
      <c r="O138" s="18"/>
      <c r="P138" s="18"/>
      <c r="Q138" s="18"/>
      <c r="R138" s="18"/>
      <c r="S138" s="18"/>
      <c r="T138" s="18"/>
      <c r="U138" s="18"/>
      <c r="V138" s="18"/>
      <c r="W138" s="18"/>
      <c r="X138" s="18"/>
      <c r="Y138" s="18"/>
      <c r="Z138" s="18"/>
      <c r="AA138" s="18"/>
      <c r="AB138" s="18"/>
    </row>
    <row r="139" spans="1:28" ht="12.5" customHeight="1">
      <c r="A139" s="19">
        <v>138</v>
      </c>
      <c r="B139" s="28" t="s">
        <v>858</v>
      </c>
      <c r="C139" s="28" t="s">
        <v>756</v>
      </c>
      <c r="D139" s="29" t="s">
        <v>859</v>
      </c>
      <c r="E139" s="28" t="s">
        <v>860</v>
      </c>
      <c r="F139" s="28" t="s">
        <v>861</v>
      </c>
      <c r="G139" s="28">
        <v>2018</v>
      </c>
      <c r="H139" s="28" t="s">
        <v>765</v>
      </c>
      <c r="I139" s="28" t="str">
        <f t="shared" si="0"/>
        <v>Recent</v>
      </c>
      <c r="J139" s="28" t="str">
        <f t="shared" si="1"/>
        <v>Yes</v>
      </c>
      <c r="K139" s="28"/>
      <c r="L139" s="28"/>
      <c r="M139" s="18"/>
      <c r="N139" s="18"/>
      <c r="O139" s="18"/>
      <c r="P139" s="18"/>
      <c r="Q139" s="18"/>
      <c r="R139" s="18"/>
      <c r="S139" s="18"/>
      <c r="T139" s="18"/>
      <c r="U139" s="18"/>
      <c r="V139" s="18"/>
      <c r="W139" s="18"/>
      <c r="X139" s="18"/>
      <c r="Y139" s="18"/>
      <c r="Z139" s="18"/>
      <c r="AA139" s="18"/>
      <c r="AB139" s="18"/>
    </row>
    <row r="140" spans="1:28" ht="12.5" customHeight="1">
      <c r="A140" s="19">
        <v>139</v>
      </c>
      <c r="B140" s="28" t="s">
        <v>862</v>
      </c>
      <c r="C140" s="28" t="s">
        <v>756</v>
      </c>
      <c r="D140" s="29" t="s">
        <v>863</v>
      </c>
      <c r="E140" s="28" t="s">
        <v>864</v>
      </c>
      <c r="F140" s="28" t="s">
        <v>861</v>
      </c>
      <c r="G140" s="28">
        <v>2019</v>
      </c>
      <c r="H140" s="28" t="s">
        <v>765</v>
      </c>
      <c r="I140" s="28" t="str">
        <f t="shared" si="0"/>
        <v>Recent</v>
      </c>
      <c r="J140" s="28" t="str">
        <f t="shared" si="1"/>
        <v>Yes</v>
      </c>
      <c r="K140" s="28"/>
      <c r="L140" s="28"/>
      <c r="M140" s="18"/>
      <c r="N140" s="18"/>
      <c r="O140" s="18"/>
      <c r="P140" s="18"/>
      <c r="Q140" s="18"/>
      <c r="R140" s="18"/>
      <c r="S140" s="18"/>
      <c r="T140" s="18"/>
      <c r="U140" s="18"/>
      <c r="V140" s="18"/>
      <c r="W140" s="18"/>
      <c r="X140" s="18"/>
      <c r="Y140" s="18"/>
      <c r="Z140" s="18"/>
      <c r="AA140" s="18"/>
      <c r="AB140" s="18"/>
    </row>
    <row r="141" spans="1:28" ht="12.5" customHeight="1">
      <c r="A141" s="19">
        <v>140</v>
      </c>
      <c r="B141" s="28" t="s">
        <v>865</v>
      </c>
      <c r="C141" s="28" t="s">
        <v>756</v>
      </c>
      <c r="D141" s="29" t="s">
        <v>866</v>
      </c>
      <c r="E141" s="28" t="s">
        <v>867</v>
      </c>
      <c r="F141" s="28" t="s">
        <v>868</v>
      </c>
      <c r="G141" s="28">
        <v>2018</v>
      </c>
      <c r="H141" s="28" t="s">
        <v>869</v>
      </c>
      <c r="I141" s="28" t="str">
        <f t="shared" si="0"/>
        <v>Recent</v>
      </c>
      <c r="J141" s="28" t="str">
        <f t="shared" si="1"/>
        <v>Yes</v>
      </c>
      <c r="K141" s="28"/>
      <c r="L141" s="28"/>
      <c r="M141" s="18"/>
      <c r="N141" s="18"/>
      <c r="O141" s="18"/>
      <c r="P141" s="18"/>
      <c r="Q141" s="18"/>
      <c r="R141" s="18"/>
      <c r="S141" s="18"/>
      <c r="T141" s="18"/>
      <c r="U141" s="18"/>
      <c r="V141" s="18"/>
      <c r="W141" s="18"/>
      <c r="X141" s="18"/>
      <c r="Y141" s="18"/>
      <c r="Z141" s="18"/>
      <c r="AA141" s="18"/>
      <c r="AB141" s="18"/>
    </row>
    <row r="142" spans="1:28" ht="12.5" customHeight="1">
      <c r="A142" s="19">
        <v>141</v>
      </c>
      <c r="B142" s="28" t="s">
        <v>870</v>
      </c>
      <c r="C142" s="28" t="s">
        <v>756</v>
      </c>
      <c r="D142" s="29" t="s">
        <v>871</v>
      </c>
      <c r="E142" s="28" t="s">
        <v>872</v>
      </c>
      <c r="F142" s="28" t="s">
        <v>873</v>
      </c>
      <c r="G142" s="28">
        <v>2018</v>
      </c>
      <c r="H142" s="28" t="s">
        <v>765</v>
      </c>
      <c r="I142" s="28" t="str">
        <f t="shared" si="0"/>
        <v>Recent</v>
      </c>
      <c r="J142" s="28" t="str">
        <f t="shared" si="1"/>
        <v>Yes</v>
      </c>
      <c r="K142" s="28"/>
      <c r="L142" s="28"/>
      <c r="M142" s="18"/>
      <c r="N142" s="18"/>
      <c r="O142" s="18"/>
      <c r="P142" s="18"/>
      <c r="Q142" s="18"/>
      <c r="R142" s="18"/>
      <c r="S142" s="18"/>
      <c r="T142" s="18"/>
      <c r="U142" s="18"/>
      <c r="V142" s="18"/>
      <c r="W142" s="18"/>
      <c r="X142" s="18"/>
      <c r="Y142" s="18"/>
      <c r="Z142" s="18"/>
      <c r="AA142" s="18"/>
      <c r="AB142" s="18"/>
    </row>
    <row r="143" spans="1:28" ht="12.5" customHeight="1">
      <c r="A143" s="19">
        <v>142</v>
      </c>
      <c r="B143" s="28" t="s">
        <v>874</v>
      </c>
      <c r="C143" s="28" t="s">
        <v>756</v>
      </c>
      <c r="D143" s="29" t="s">
        <v>875</v>
      </c>
      <c r="E143" s="28" t="s">
        <v>876</v>
      </c>
      <c r="F143" s="28" t="s">
        <v>877</v>
      </c>
      <c r="G143" s="28">
        <v>2007</v>
      </c>
      <c r="H143" s="28" t="s">
        <v>800</v>
      </c>
      <c r="I143" s="28" t="str">
        <f t="shared" si="0"/>
        <v>Early</v>
      </c>
      <c r="J143" s="28" t="str">
        <f t="shared" si="1"/>
        <v>Yes</v>
      </c>
      <c r="K143" s="28"/>
      <c r="L143" s="28"/>
      <c r="M143" s="18"/>
      <c r="N143" s="18"/>
      <c r="O143" s="18"/>
      <c r="P143" s="18"/>
      <c r="Q143" s="18"/>
      <c r="R143" s="18"/>
      <c r="S143" s="18"/>
      <c r="T143" s="18"/>
      <c r="U143" s="18"/>
      <c r="V143" s="18"/>
      <c r="W143" s="18"/>
      <c r="X143" s="18"/>
      <c r="Y143" s="18"/>
      <c r="Z143" s="18"/>
      <c r="AA143" s="18"/>
      <c r="AB143" s="18"/>
    </row>
    <row r="144" spans="1:28" ht="12.5" customHeight="1">
      <c r="A144" s="19">
        <v>143</v>
      </c>
      <c r="B144" s="28" t="s">
        <v>878</v>
      </c>
      <c r="C144" s="28" t="s">
        <v>756</v>
      </c>
      <c r="D144" s="29" t="s">
        <v>879</v>
      </c>
      <c r="E144" s="28" t="s">
        <v>880</v>
      </c>
      <c r="F144" s="28" t="s">
        <v>881</v>
      </c>
      <c r="G144" s="28">
        <v>2009</v>
      </c>
      <c r="H144" s="28" t="s">
        <v>805</v>
      </c>
      <c r="I144" s="28" t="str">
        <f t="shared" si="0"/>
        <v>Early</v>
      </c>
      <c r="J144" s="28" t="str">
        <f t="shared" si="1"/>
        <v>Yes</v>
      </c>
      <c r="K144" s="28"/>
      <c r="L144" s="28"/>
      <c r="M144" s="18"/>
      <c r="N144" s="18"/>
      <c r="O144" s="18"/>
      <c r="P144" s="18"/>
      <c r="Q144" s="18"/>
      <c r="R144" s="18"/>
      <c r="S144" s="18"/>
      <c r="T144" s="18"/>
      <c r="U144" s="18"/>
      <c r="V144" s="18"/>
      <c r="W144" s="18"/>
      <c r="X144" s="18"/>
      <c r="Y144" s="18"/>
      <c r="Z144" s="18"/>
      <c r="AA144" s="18"/>
      <c r="AB144" s="18"/>
    </row>
    <row r="145" spans="1:28" ht="12.5" customHeight="1">
      <c r="A145" s="19">
        <v>144</v>
      </c>
      <c r="B145" s="28" t="s">
        <v>882</v>
      </c>
      <c r="C145" s="28" t="s">
        <v>756</v>
      </c>
      <c r="D145" s="29" t="s">
        <v>883</v>
      </c>
      <c r="E145" s="28" t="s">
        <v>884</v>
      </c>
      <c r="F145" s="28" t="s">
        <v>885</v>
      </c>
      <c r="G145" s="28">
        <v>2006</v>
      </c>
      <c r="H145" s="28" t="s">
        <v>886</v>
      </c>
      <c r="I145" s="28" t="str">
        <f t="shared" si="0"/>
        <v>Early</v>
      </c>
      <c r="J145" s="28" t="str">
        <f t="shared" si="1"/>
        <v>Yes</v>
      </c>
      <c r="K145" s="28"/>
      <c r="L145" s="28"/>
      <c r="M145" s="18"/>
      <c r="N145" s="18"/>
      <c r="O145" s="18"/>
      <c r="P145" s="18"/>
      <c r="Q145" s="18"/>
      <c r="R145" s="18"/>
      <c r="S145" s="18"/>
      <c r="T145" s="18"/>
      <c r="U145" s="18"/>
      <c r="V145" s="18"/>
      <c r="W145" s="18"/>
      <c r="X145" s="18"/>
      <c r="Y145" s="18"/>
      <c r="Z145" s="18"/>
      <c r="AA145" s="18"/>
      <c r="AB145" s="18"/>
    </row>
    <row r="146" spans="1:28" ht="12.5" customHeight="1">
      <c r="A146" s="19">
        <v>145</v>
      </c>
      <c r="B146" s="30" t="s">
        <v>887</v>
      </c>
      <c r="C146" s="30" t="s">
        <v>888</v>
      </c>
      <c r="D146" s="31" t="s">
        <v>889</v>
      </c>
      <c r="E146" s="30" t="s">
        <v>890</v>
      </c>
      <c r="F146" s="30" t="s">
        <v>891</v>
      </c>
      <c r="G146" s="30">
        <v>2019</v>
      </c>
      <c r="H146" s="30" t="s">
        <v>892</v>
      </c>
      <c r="I146" s="30" t="str">
        <f t="shared" si="0"/>
        <v>Recent</v>
      </c>
      <c r="J146" s="30" t="str">
        <f t="shared" si="1"/>
        <v>Yes</v>
      </c>
      <c r="K146" s="30"/>
      <c r="L146" s="30"/>
      <c r="M146" s="18"/>
      <c r="N146" s="18"/>
      <c r="O146" s="18"/>
      <c r="P146" s="18"/>
      <c r="Q146" s="18"/>
      <c r="R146" s="18"/>
      <c r="S146" s="18"/>
      <c r="T146" s="18"/>
      <c r="U146" s="18"/>
      <c r="V146" s="18"/>
      <c r="W146" s="18"/>
      <c r="X146" s="18"/>
      <c r="Y146" s="18"/>
      <c r="Z146" s="18"/>
      <c r="AA146" s="18"/>
      <c r="AB146" s="18"/>
    </row>
    <row r="147" spans="1:28" ht="12.5" customHeight="1">
      <c r="A147" s="19">
        <v>146</v>
      </c>
      <c r="B147" s="30" t="s">
        <v>893</v>
      </c>
      <c r="C147" s="30" t="s">
        <v>888</v>
      </c>
      <c r="D147" s="31" t="s">
        <v>894</v>
      </c>
      <c r="E147" s="30" t="s">
        <v>895</v>
      </c>
      <c r="F147" s="30" t="s">
        <v>896</v>
      </c>
      <c r="G147" s="30">
        <v>2008</v>
      </c>
      <c r="H147" s="30" t="s">
        <v>897</v>
      </c>
      <c r="I147" s="30" t="str">
        <f t="shared" si="0"/>
        <v>Early</v>
      </c>
      <c r="J147" s="30" t="str">
        <f t="shared" si="1"/>
        <v>Yes</v>
      </c>
      <c r="K147" s="30"/>
      <c r="L147" s="30"/>
      <c r="M147" s="18"/>
      <c r="N147" s="18"/>
      <c r="O147" s="18"/>
      <c r="P147" s="18"/>
      <c r="Q147" s="18"/>
      <c r="R147" s="18"/>
      <c r="S147" s="18"/>
      <c r="T147" s="18"/>
      <c r="U147" s="18"/>
      <c r="V147" s="18"/>
      <c r="W147" s="18"/>
      <c r="X147" s="18"/>
      <c r="Y147" s="18"/>
      <c r="Z147" s="18"/>
      <c r="AA147" s="18"/>
      <c r="AB147" s="18"/>
    </row>
    <row r="148" spans="1:28" ht="12.5" customHeight="1">
      <c r="A148" s="19">
        <v>147</v>
      </c>
      <c r="B148" s="30" t="s">
        <v>898</v>
      </c>
      <c r="C148" s="30" t="s">
        <v>888</v>
      </c>
      <c r="D148" s="31" t="s">
        <v>899</v>
      </c>
      <c r="E148" s="30" t="s">
        <v>900</v>
      </c>
      <c r="F148" s="30" t="s">
        <v>901</v>
      </c>
      <c r="G148" s="30">
        <v>2003</v>
      </c>
      <c r="H148" s="30" t="s">
        <v>902</v>
      </c>
      <c r="I148" s="30" t="str">
        <f t="shared" si="0"/>
        <v>Early</v>
      </c>
      <c r="J148" s="30" t="str">
        <f t="shared" si="1"/>
        <v>Yes</v>
      </c>
      <c r="K148" s="30"/>
      <c r="L148" s="30"/>
      <c r="M148" s="18"/>
      <c r="N148" s="18"/>
      <c r="O148" s="18"/>
      <c r="P148" s="18"/>
      <c r="Q148" s="18"/>
      <c r="R148" s="18"/>
      <c r="S148" s="18"/>
      <c r="T148" s="18"/>
      <c r="U148" s="18"/>
      <c r="V148" s="18"/>
      <c r="W148" s="18"/>
      <c r="X148" s="18"/>
      <c r="Y148" s="18"/>
      <c r="Z148" s="18"/>
      <c r="AA148" s="18"/>
      <c r="AB148" s="18"/>
    </row>
    <row r="149" spans="1:28" ht="12.5" customHeight="1">
      <c r="A149" s="19">
        <v>148</v>
      </c>
      <c r="B149" s="30" t="s">
        <v>903</v>
      </c>
      <c r="C149" s="30" t="s">
        <v>888</v>
      </c>
      <c r="D149" s="31" t="s">
        <v>904</v>
      </c>
      <c r="E149" s="30" t="s">
        <v>905</v>
      </c>
      <c r="F149" s="30" t="s">
        <v>906</v>
      </c>
      <c r="G149" s="30">
        <v>2013</v>
      </c>
      <c r="H149" s="30" t="s">
        <v>907</v>
      </c>
      <c r="I149" s="30" t="str">
        <f t="shared" si="0"/>
        <v>Middle</v>
      </c>
      <c r="J149" s="30" t="str">
        <f t="shared" si="1"/>
        <v>Yes</v>
      </c>
      <c r="K149" s="30"/>
      <c r="L149" s="30"/>
      <c r="M149" s="18"/>
      <c r="N149" s="18"/>
      <c r="O149" s="18"/>
      <c r="P149" s="18"/>
      <c r="Q149" s="18"/>
      <c r="R149" s="18"/>
      <c r="S149" s="18"/>
      <c r="T149" s="18"/>
      <c r="U149" s="18"/>
      <c r="V149" s="18"/>
      <c r="W149" s="18"/>
      <c r="X149" s="18"/>
      <c r="Y149" s="18"/>
      <c r="Z149" s="18"/>
      <c r="AA149" s="18"/>
      <c r="AB149" s="18"/>
    </row>
    <row r="150" spans="1:28" ht="12.5" customHeight="1">
      <c r="A150" s="19">
        <v>149</v>
      </c>
      <c r="B150" s="30" t="s">
        <v>908</v>
      </c>
      <c r="C150" s="30" t="s">
        <v>888</v>
      </c>
      <c r="D150" s="31" t="s">
        <v>909</v>
      </c>
      <c r="E150" s="30" t="s">
        <v>910</v>
      </c>
      <c r="F150" s="30" t="s">
        <v>911</v>
      </c>
      <c r="G150" s="30">
        <v>2012</v>
      </c>
      <c r="H150" s="30" t="s">
        <v>897</v>
      </c>
      <c r="I150" s="30" t="str">
        <f t="shared" si="0"/>
        <v>Middle</v>
      </c>
      <c r="J150" s="30" t="str">
        <f t="shared" si="1"/>
        <v>Yes</v>
      </c>
      <c r="K150" s="30"/>
      <c r="L150" s="30"/>
      <c r="M150" s="18"/>
      <c r="N150" s="18"/>
      <c r="O150" s="18"/>
      <c r="P150" s="18"/>
      <c r="Q150" s="18"/>
      <c r="R150" s="18"/>
      <c r="S150" s="18"/>
      <c r="T150" s="18"/>
      <c r="U150" s="18"/>
      <c r="V150" s="18"/>
      <c r="W150" s="18"/>
      <c r="X150" s="18"/>
      <c r="Y150" s="18"/>
      <c r="Z150" s="18"/>
      <c r="AA150" s="18"/>
      <c r="AB150" s="18"/>
    </row>
    <row r="151" spans="1:28" ht="12.5" customHeight="1">
      <c r="A151" s="19">
        <v>150</v>
      </c>
      <c r="B151" s="30" t="s">
        <v>912</v>
      </c>
      <c r="C151" s="30" t="s">
        <v>888</v>
      </c>
      <c r="D151" s="31" t="s">
        <v>913</v>
      </c>
      <c r="E151" s="30" t="s">
        <v>914</v>
      </c>
      <c r="F151" s="30" t="s">
        <v>915</v>
      </c>
      <c r="G151" s="30">
        <v>2011</v>
      </c>
      <c r="H151" s="30" t="s">
        <v>916</v>
      </c>
      <c r="I151" s="30" t="str">
        <f t="shared" si="0"/>
        <v>Middle</v>
      </c>
      <c r="J151" s="30" t="str">
        <f t="shared" si="1"/>
        <v>Yes</v>
      </c>
      <c r="K151" s="30"/>
      <c r="L151" s="30"/>
      <c r="M151" s="18"/>
      <c r="N151" s="18"/>
      <c r="O151" s="18"/>
      <c r="P151" s="18"/>
      <c r="Q151" s="18"/>
      <c r="R151" s="18"/>
      <c r="S151" s="18"/>
      <c r="T151" s="18"/>
      <c r="U151" s="18"/>
      <c r="V151" s="18"/>
      <c r="W151" s="18"/>
      <c r="X151" s="18"/>
      <c r="Y151" s="18"/>
      <c r="Z151" s="18"/>
      <c r="AA151" s="18"/>
      <c r="AB151" s="18"/>
    </row>
    <row r="152" spans="1:28" ht="15.5" customHeight="1">
      <c r="A152" s="19">
        <v>151</v>
      </c>
      <c r="B152" s="30" t="s">
        <v>917</v>
      </c>
      <c r="C152" s="30" t="s">
        <v>888</v>
      </c>
      <c r="D152" s="32" t="s">
        <v>918</v>
      </c>
      <c r="E152" s="30" t="s">
        <v>919</v>
      </c>
      <c r="F152" s="30" t="s">
        <v>920</v>
      </c>
      <c r="G152" s="30">
        <v>2011</v>
      </c>
      <c r="H152" s="30" t="s">
        <v>897</v>
      </c>
      <c r="I152" s="30" t="str">
        <f t="shared" si="0"/>
        <v>Middle</v>
      </c>
      <c r="J152" s="30" t="str">
        <f t="shared" si="1"/>
        <v>Yes</v>
      </c>
      <c r="K152" s="30"/>
      <c r="L152" s="30"/>
      <c r="M152" s="18"/>
      <c r="N152" s="18"/>
      <c r="O152" s="18"/>
      <c r="P152" s="18"/>
      <c r="Q152" s="18"/>
      <c r="R152" s="18"/>
      <c r="S152" s="18"/>
      <c r="T152" s="18"/>
      <c r="U152" s="18"/>
      <c r="V152" s="18"/>
      <c r="W152" s="18"/>
      <c r="X152" s="18"/>
      <c r="Y152" s="18"/>
      <c r="Z152" s="18"/>
      <c r="AA152" s="18"/>
      <c r="AB152" s="18"/>
    </row>
    <row r="153" spans="1:28" ht="15.5" customHeight="1">
      <c r="A153" s="19">
        <v>152</v>
      </c>
      <c r="B153" s="30" t="s">
        <v>921</v>
      </c>
      <c r="C153" s="30" t="s">
        <v>888</v>
      </c>
      <c r="D153" s="32" t="s">
        <v>922</v>
      </c>
      <c r="E153" s="30" t="s">
        <v>923</v>
      </c>
      <c r="F153" s="30" t="s">
        <v>924</v>
      </c>
      <c r="G153" s="30">
        <v>2017</v>
      </c>
      <c r="H153" s="30" t="s">
        <v>907</v>
      </c>
      <c r="I153" s="30" t="str">
        <f t="shared" si="0"/>
        <v>Middle</v>
      </c>
      <c r="J153" s="30" t="str">
        <f t="shared" si="1"/>
        <v>Yes</v>
      </c>
      <c r="K153" s="30"/>
      <c r="L153" s="30"/>
      <c r="M153" s="18"/>
      <c r="N153" s="18"/>
      <c r="O153" s="18"/>
      <c r="P153" s="18"/>
      <c r="Q153" s="18"/>
      <c r="R153" s="18"/>
      <c r="S153" s="18"/>
      <c r="T153" s="18"/>
      <c r="U153" s="18"/>
      <c r="V153" s="18"/>
      <c r="W153" s="18"/>
      <c r="X153" s="18"/>
      <c r="Y153" s="18"/>
      <c r="Z153" s="18"/>
      <c r="AA153" s="18"/>
      <c r="AB153" s="18"/>
    </row>
    <row r="154" spans="1:28" ht="15.5" customHeight="1">
      <c r="A154" s="19">
        <v>153</v>
      </c>
      <c r="B154" s="30" t="s">
        <v>925</v>
      </c>
      <c r="C154" s="30" t="s">
        <v>888</v>
      </c>
      <c r="D154" s="32" t="s">
        <v>926</v>
      </c>
      <c r="E154" s="30" t="s">
        <v>927</v>
      </c>
      <c r="F154" s="30" t="s">
        <v>928</v>
      </c>
      <c r="G154" s="30">
        <v>2014</v>
      </c>
      <c r="H154" s="30" t="s">
        <v>897</v>
      </c>
      <c r="I154" s="30" t="str">
        <f t="shared" si="0"/>
        <v>Middle</v>
      </c>
      <c r="J154" s="30" t="str">
        <f t="shared" si="1"/>
        <v>Yes</v>
      </c>
      <c r="K154" s="30"/>
      <c r="L154" s="30"/>
      <c r="M154" s="18"/>
      <c r="N154" s="18"/>
      <c r="O154" s="18"/>
      <c r="P154" s="18"/>
      <c r="Q154" s="18"/>
      <c r="R154" s="18"/>
      <c r="S154" s="18"/>
      <c r="T154" s="18"/>
      <c r="U154" s="18"/>
      <c r="V154" s="18"/>
      <c r="W154" s="18"/>
      <c r="X154" s="18"/>
      <c r="Y154" s="18"/>
      <c r="Z154" s="18"/>
      <c r="AA154" s="18"/>
      <c r="AB154" s="18"/>
    </row>
    <row r="155" spans="1:28" ht="15.5" customHeight="1">
      <c r="A155" s="19">
        <v>154</v>
      </c>
      <c r="B155" s="30" t="s">
        <v>929</v>
      </c>
      <c r="C155" s="30" t="s">
        <v>888</v>
      </c>
      <c r="D155" s="32" t="s">
        <v>930</v>
      </c>
      <c r="E155" s="30" t="s">
        <v>931</v>
      </c>
      <c r="F155" s="30" t="s">
        <v>932</v>
      </c>
      <c r="G155" s="30">
        <v>2013</v>
      </c>
      <c r="H155" s="30" t="s">
        <v>902</v>
      </c>
      <c r="I155" s="30" t="str">
        <f t="shared" si="0"/>
        <v>Middle</v>
      </c>
      <c r="J155" s="30" t="str">
        <f t="shared" si="1"/>
        <v>Yes</v>
      </c>
      <c r="K155" s="30"/>
      <c r="L155" s="30"/>
      <c r="M155" s="18"/>
      <c r="N155" s="18"/>
      <c r="O155" s="18"/>
      <c r="P155" s="18"/>
      <c r="Q155" s="18"/>
      <c r="R155" s="18"/>
      <c r="S155" s="18"/>
      <c r="T155" s="18"/>
      <c r="U155" s="18"/>
      <c r="V155" s="18"/>
      <c r="W155" s="18"/>
      <c r="X155" s="18"/>
      <c r="Y155" s="18"/>
      <c r="Z155" s="18"/>
      <c r="AA155" s="18"/>
      <c r="AB155" s="18"/>
    </row>
    <row r="156" spans="1:28" ht="15.5" customHeight="1">
      <c r="A156" s="19">
        <v>155</v>
      </c>
      <c r="B156" s="30" t="s">
        <v>933</v>
      </c>
      <c r="C156" s="30" t="s">
        <v>888</v>
      </c>
      <c r="D156" s="32" t="s">
        <v>934</v>
      </c>
      <c r="E156" s="30" t="s">
        <v>935</v>
      </c>
      <c r="F156" s="30" t="s">
        <v>936</v>
      </c>
      <c r="G156" s="30">
        <v>2019</v>
      </c>
      <c r="H156" s="30" t="s">
        <v>937</v>
      </c>
      <c r="I156" s="30" t="str">
        <f t="shared" si="0"/>
        <v>Recent</v>
      </c>
      <c r="J156" s="30" t="str">
        <f t="shared" si="1"/>
        <v>Yes</v>
      </c>
      <c r="K156" s="30"/>
      <c r="L156" s="30"/>
      <c r="M156" s="18"/>
      <c r="N156" s="18"/>
      <c r="O156" s="18"/>
      <c r="P156" s="18"/>
      <c r="Q156" s="18"/>
      <c r="R156" s="18"/>
      <c r="S156" s="18"/>
      <c r="T156" s="18"/>
      <c r="U156" s="18"/>
      <c r="V156" s="18"/>
      <c r="W156" s="18"/>
      <c r="X156" s="18"/>
      <c r="Y156" s="18"/>
      <c r="Z156" s="18"/>
      <c r="AA156" s="18"/>
      <c r="AB156" s="18"/>
    </row>
    <row r="157" spans="1:28" ht="15.5" customHeight="1">
      <c r="A157" s="19">
        <v>156</v>
      </c>
      <c r="B157" s="30" t="s">
        <v>938</v>
      </c>
      <c r="C157" s="30" t="s">
        <v>888</v>
      </c>
      <c r="D157" s="32" t="s">
        <v>939</v>
      </c>
      <c r="E157" s="30" t="s">
        <v>940</v>
      </c>
      <c r="F157" s="30" t="s">
        <v>941</v>
      </c>
      <c r="G157" s="30">
        <v>2015</v>
      </c>
      <c r="H157" s="30" t="s">
        <v>902</v>
      </c>
      <c r="I157" s="30" t="str">
        <f t="shared" si="0"/>
        <v>Middle</v>
      </c>
      <c r="J157" s="30" t="str">
        <f t="shared" si="1"/>
        <v>Yes</v>
      </c>
      <c r="K157" s="30"/>
      <c r="L157" s="30"/>
      <c r="M157" s="18"/>
      <c r="N157" s="18"/>
      <c r="O157" s="18"/>
      <c r="P157" s="18"/>
      <c r="Q157" s="18"/>
      <c r="R157" s="18"/>
      <c r="S157" s="18"/>
      <c r="T157" s="18"/>
      <c r="U157" s="18"/>
      <c r="V157" s="18"/>
      <c r="W157" s="18"/>
      <c r="X157" s="18"/>
      <c r="Y157" s="18"/>
      <c r="Z157" s="18"/>
      <c r="AA157" s="18"/>
      <c r="AB157" s="18"/>
    </row>
    <row r="158" spans="1:28" ht="15.5" customHeight="1">
      <c r="A158" s="19">
        <v>157</v>
      </c>
      <c r="B158" s="30" t="s">
        <v>942</v>
      </c>
      <c r="C158" s="30" t="s">
        <v>888</v>
      </c>
      <c r="D158" s="32" t="s">
        <v>943</v>
      </c>
      <c r="E158" s="30" t="s">
        <v>944</v>
      </c>
      <c r="F158" s="30" t="s">
        <v>945</v>
      </c>
      <c r="G158" s="30">
        <v>2011</v>
      </c>
      <c r="H158" s="30" t="s">
        <v>946</v>
      </c>
      <c r="I158" s="30" t="str">
        <f t="shared" si="0"/>
        <v>Middle</v>
      </c>
      <c r="J158" s="30" t="str">
        <f t="shared" si="1"/>
        <v>Yes</v>
      </c>
      <c r="K158" s="30"/>
      <c r="L158" s="30"/>
      <c r="M158" s="18"/>
      <c r="N158" s="18"/>
      <c r="O158" s="18"/>
      <c r="P158" s="18"/>
      <c r="Q158" s="18"/>
      <c r="R158" s="18"/>
      <c r="S158" s="18"/>
      <c r="T158" s="18"/>
      <c r="U158" s="18"/>
      <c r="V158" s="18"/>
      <c r="W158" s="18"/>
      <c r="X158" s="18"/>
      <c r="Y158" s="18"/>
      <c r="Z158" s="18"/>
      <c r="AA158" s="18"/>
      <c r="AB158" s="18"/>
    </row>
    <row r="159" spans="1:28" ht="15.5" customHeight="1">
      <c r="A159" s="19">
        <v>158</v>
      </c>
      <c r="B159" s="30" t="s">
        <v>947</v>
      </c>
      <c r="C159" s="30" t="s">
        <v>888</v>
      </c>
      <c r="D159" s="32" t="s">
        <v>948</v>
      </c>
      <c r="E159" s="30" t="s">
        <v>949</v>
      </c>
      <c r="F159" s="30" t="s">
        <v>950</v>
      </c>
      <c r="G159" s="30">
        <v>2010</v>
      </c>
      <c r="H159" s="30" t="s">
        <v>951</v>
      </c>
      <c r="I159" s="30" t="str">
        <f t="shared" si="0"/>
        <v>Middle</v>
      </c>
      <c r="J159" s="30" t="str">
        <f t="shared" si="1"/>
        <v>Yes</v>
      </c>
      <c r="K159" s="30"/>
      <c r="L159" s="30"/>
      <c r="M159" s="18"/>
      <c r="N159" s="18"/>
      <c r="O159" s="18"/>
      <c r="P159" s="18"/>
      <c r="Q159" s="18"/>
      <c r="R159" s="18"/>
      <c r="S159" s="18"/>
      <c r="T159" s="18"/>
      <c r="U159" s="18"/>
      <c r="V159" s="18"/>
      <c r="W159" s="18"/>
      <c r="X159" s="18"/>
      <c r="Y159" s="18"/>
      <c r="Z159" s="18"/>
      <c r="AA159" s="18"/>
      <c r="AB159" s="18"/>
    </row>
    <row r="160" spans="1:28" ht="15.5" customHeight="1">
      <c r="A160" s="19">
        <v>159</v>
      </c>
      <c r="B160" s="30" t="s">
        <v>952</v>
      </c>
      <c r="C160" s="30" t="s">
        <v>888</v>
      </c>
      <c r="D160" s="32" t="s">
        <v>953</v>
      </c>
      <c r="E160" s="30" t="s">
        <v>954</v>
      </c>
      <c r="F160" s="30" t="s">
        <v>955</v>
      </c>
      <c r="G160" s="30">
        <v>2007</v>
      </c>
      <c r="H160" s="30" t="s">
        <v>902</v>
      </c>
      <c r="I160" s="30" t="str">
        <f t="shared" si="0"/>
        <v>Early</v>
      </c>
      <c r="J160" s="30" t="str">
        <f t="shared" si="1"/>
        <v>Yes</v>
      </c>
      <c r="K160" s="30"/>
      <c r="L160" s="30"/>
      <c r="M160" s="18"/>
      <c r="N160" s="18"/>
      <c r="O160" s="18"/>
      <c r="P160" s="18"/>
      <c r="Q160" s="18"/>
      <c r="R160" s="18"/>
      <c r="S160" s="18"/>
      <c r="T160" s="18"/>
      <c r="U160" s="18"/>
      <c r="V160" s="18"/>
      <c r="W160" s="18"/>
      <c r="X160" s="18"/>
      <c r="Y160" s="18"/>
      <c r="Z160" s="18"/>
      <c r="AA160" s="18"/>
      <c r="AB160" s="18"/>
    </row>
    <row r="161" spans="1:28" ht="15.5" customHeight="1">
      <c r="A161" s="19">
        <v>160</v>
      </c>
      <c r="B161" s="30" t="s">
        <v>956</v>
      </c>
      <c r="C161" s="30" t="s">
        <v>888</v>
      </c>
      <c r="D161" s="32" t="s">
        <v>957</v>
      </c>
      <c r="E161" s="30" t="s">
        <v>958</v>
      </c>
      <c r="F161" s="30" t="s">
        <v>955</v>
      </c>
      <c r="G161" s="30">
        <v>2011</v>
      </c>
      <c r="H161" s="30" t="s">
        <v>897</v>
      </c>
      <c r="I161" s="30" t="str">
        <f t="shared" si="0"/>
        <v>Middle</v>
      </c>
      <c r="J161" s="30" t="str">
        <f t="shared" si="1"/>
        <v>Yes</v>
      </c>
      <c r="K161" s="30"/>
      <c r="L161" s="30"/>
      <c r="M161" s="18"/>
      <c r="N161" s="18"/>
      <c r="O161" s="18"/>
      <c r="P161" s="18"/>
      <c r="Q161" s="18"/>
      <c r="R161" s="18"/>
      <c r="S161" s="18"/>
      <c r="T161" s="18"/>
      <c r="U161" s="18"/>
      <c r="V161" s="18"/>
      <c r="W161" s="18"/>
      <c r="X161" s="18"/>
      <c r="Y161" s="18"/>
      <c r="Z161" s="18"/>
      <c r="AA161" s="18"/>
      <c r="AB161" s="18"/>
    </row>
    <row r="162" spans="1:28" ht="15.5" customHeight="1">
      <c r="A162" s="19">
        <v>161</v>
      </c>
      <c r="B162" s="30" t="s">
        <v>959</v>
      </c>
      <c r="C162" s="30" t="s">
        <v>888</v>
      </c>
      <c r="D162" s="32" t="s">
        <v>960</v>
      </c>
      <c r="E162" s="30" t="s">
        <v>961</v>
      </c>
      <c r="F162" s="30" t="s">
        <v>962</v>
      </c>
      <c r="G162" s="30">
        <v>2002</v>
      </c>
      <c r="H162" s="30" t="s">
        <v>902</v>
      </c>
      <c r="I162" s="30" t="str">
        <f t="shared" si="0"/>
        <v>Early</v>
      </c>
      <c r="J162" s="30" t="str">
        <f t="shared" si="1"/>
        <v>Yes</v>
      </c>
      <c r="K162" s="30"/>
      <c r="L162" s="30"/>
      <c r="M162" s="18"/>
      <c r="N162" s="18"/>
      <c r="O162" s="18"/>
      <c r="P162" s="18"/>
      <c r="Q162" s="18"/>
      <c r="R162" s="18"/>
      <c r="S162" s="18"/>
      <c r="T162" s="18"/>
      <c r="U162" s="18"/>
      <c r="V162" s="18"/>
      <c r="W162" s="18"/>
      <c r="X162" s="18"/>
      <c r="Y162" s="18"/>
      <c r="Z162" s="18"/>
      <c r="AA162" s="18"/>
      <c r="AB162" s="18"/>
    </row>
    <row r="163" spans="1:28" ht="15.5" customHeight="1">
      <c r="A163" s="19">
        <v>162</v>
      </c>
      <c r="B163" s="30" t="s">
        <v>963</v>
      </c>
      <c r="C163" s="30" t="s">
        <v>888</v>
      </c>
      <c r="D163" s="32" t="s">
        <v>964</v>
      </c>
      <c r="E163" s="30" t="s">
        <v>965</v>
      </c>
      <c r="F163" s="30" t="s">
        <v>966</v>
      </c>
      <c r="G163" s="30">
        <v>2009</v>
      </c>
      <c r="H163" s="30" t="s">
        <v>967</v>
      </c>
      <c r="I163" s="30" t="str">
        <f t="shared" si="0"/>
        <v>Early</v>
      </c>
      <c r="J163" s="30" t="str">
        <f t="shared" si="1"/>
        <v>Yes</v>
      </c>
      <c r="K163" s="30"/>
      <c r="L163" s="30"/>
      <c r="M163" s="18"/>
      <c r="N163" s="18"/>
      <c r="O163" s="18"/>
      <c r="P163" s="18"/>
      <c r="Q163" s="18"/>
      <c r="R163" s="18"/>
      <c r="S163" s="18"/>
      <c r="T163" s="18"/>
      <c r="U163" s="18"/>
      <c r="V163" s="18"/>
      <c r="W163" s="18"/>
      <c r="X163" s="18"/>
      <c r="Y163" s="18"/>
      <c r="Z163" s="18"/>
      <c r="AA163" s="18"/>
      <c r="AB163" s="18"/>
    </row>
    <row r="164" spans="1:28" ht="14" customHeight="1">
      <c r="A164" s="19">
        <v>163</v>
      </c>
      <c r="B164" s="30" t="s">
        <v>968</v>
      </c>
      <c r="C164" s="30" t="s">
        <v>888</v>
      </c>
      <c r="D164" s="33" t="s">
        <v>969</v>
      </c>
      <c r="E164" s="30" t="s">
        <v>970</v>
      </c>
      <c r="F164" s="30" t="s">
        <v>971</v>
      </c>
      <c r="G164" s="30">
        <v>2012</v>
      </c>
      <c r="H164" s="30" t="s">
        <v>972</v>
      </c>
      <c r="I164" s="30" t="str">
        <f t="shared" si="0"/>
        <v>Middle</v>
      </c>
      <c r="J164" s="30" t="str">
        <f t="shared" si="1"/>
        <v>Yes</v>
      </c>
      <c r="K164" s="30"/>
      <c r="L164" s="30"/>
      <c r="M164" s="18"/>
      <c r="N164" s="18"/>
      <c r="O164" s="18"/>
      <c r="P164" s="18"/>
      <c r="Q164" s="18"/>
      <c r="R164" s="18"/>
      <c r="S164" s="18"/>
      <c r="T164" s="18"/>
      <c r="U164" s="18"/>
      <c r="V164" s="18"/>
      <c r="W164" s="18"/>
      <c r="X164" s="18"/>
      <c r="Y164" s="18"/>
      <c r="Z164" s="18"/>
      <c r="AA164" s="18"/>
      <c r="AB164" s="18"/>
    </row>
    <row r="165" spans="1:28" ht="15.5" customHeight="1">
      <c r="A165" s="19">
        <v>164</v>
      </c>
      <c r="B165" s="30" t="s">
        <v>973</v>
      </c>
      <c r="C165" s="30" t="s">
        <v>888</v>
      </c>
      <c r="D165" s="32" t="s">
        <v>974</v>
      </c>
      <c r="E165" s="30" t="s">
        <v>975</v>
      </c>
      <c r="F165" s="30" t="s">
        <v>976</v>
      </c>
      <c r="G165" s="30">
        <v>2010</v>
      </c>
      <c r="H165" s="30" t="s">
        <v>897</v>
      </c>
      <c r="I165" s="30" t="str">
        <f t="shared" si="0"/>
        <v>Middle</v>
      </c>
      <c r="J165" s="30" t="str">
        <f t="shared" si="1"/>
        <v>Yes</v>
      </c>
      <c r="K165" s="30"/>
      <c r="L165" s="30"/>
      <c r="M165" s="18"/>
      <c r="N165" s="18"/>
      <c r="O165" s="18"/>
      <c r="P165" s="18"/>
      <c r="Q165" s="18"/>
      <c r="R165" s="18"/>
      <c r="S165" s="18"/>
      <c r="T165" s="18"/>
      <c r="U165" s="18"/>
      <c r="V165" s="18"/>
      <c r="W165" s="18"/>
      <c r="X165" s="18"/>
      <c r="Y165" s="18"/>
      <c r="Z165" s="18"/>
      <c r="AA165" s="18"/>
      <c r="AB165" s="18"/>
    </row>
    <row r="166" spans="1:28" ht="15.5" customHeight="1">
      <c r="A166" s="19">
        <v>165</v>
      </c>
      <c r="B166" s="30" t="s">
        <v>977</v>
      </c>
      <c r="C166" s="30" t="s">
        <v>888</v>
      </c>
      <c r="D166" s="32" t="s">
        <v>978</v>
      </c>
      <c r="E166" s="30" t="s">
        <v>979</v>
      </c>
      <c r="F166" s="30" t="s">
        <v>980</v>
      </c>
      <c r="G166" s="30">
        <v>2010</v>
      </c>
      <c r="H166" s="30" t="s">
        <v>897</v>
      </c>
      <c r="I166" s="30" t="str">
        <f t="shared" si="0"/>
        <v>Middle</v>
      </c>
      <c r="J166" s="30" t="str">
        <f t="shared" si="1"/>
        <v>Yes</v>
      </c>
      <c r="K166" s="30"/>
      <c r="L166" s="30"/>
      <c r="M166" s="18"/>
      <c r="N166" s="18"/>
      <c r="O166" s="18"/>
      <c r="P166" s="18"/>
      <c r="Q166" s="18"/>
      <c r="R166" s="18"/>
      <c r="S166" s="18"/>
      <c r="T166" s="18"/>
      <c r="U166" s="18"/>
      <c r="V166" s="18"/>
      <c r="W166" s="18"/>
      <c r="X166" s="18"/>
      <c r="Y166" s="18"/>
      <c r="Z166" s="18"/>
      <c r="AA166" s="18"/>
      <c r="AB166" s="18"/>
    </row>
    <row r="167" spans="1:28" ht="15.5" customHeight="1">
      <c r="A167" s="19">
        <v>166</v>
      </c>
      <c r="B167" s="30" t="s">
        <v>981</v>
      </c>
      <c r="C167" s="30" t="s">
        <v>888</v>
      </c>
      <c r="D167" s="32" t="s">
        <v>982</v>
      </c>
      <c r="E167" s="30" t="s">
        <v>983</v>
      </c>
      <c r="F167" s="30" t="s">
        <v>984</v>
      </c>
      <c r="G167" s="30">
        <v>2017</v>
      </c>
      <c r="H167" s="30" t="s">
        <v>907</v>
      </c>
      <c r="I167" s="30" t="str">
        <f t="shared" si="0"/>
        <v>Middle</v>
      </c>
      <c r="J167" s="30" t="str">
        <f t="shared" si="1"/>
        <v>Yes</v>
      </c>
      <c r="K167" s="30"/>
      <c r="L167" s="30"/>
      <c r="M167" s="18"/>
      <c r="N167" s="18"/>
      <c r="O167" s="18"/>
      <c r="P167" s="18"/>
      <c r="Q167" s="18"/>
      <c r="R167" s="18"/>
      <c r="S167" s="18"/>
      <c r="T167" s="18"/>
      <c r="U167" s="18"/>
      <c r="V167" s="18"/>
      <c r="W167" s="18"/>
      <c r="X167" s="18"/>
      <c r="Y167" s="18"/>
      <c r="Z167" s="18"/>
      <c r="AA167" s="18"/>
      <c r="AB167" s="18"/>
    </row>
    <row r="168" spans="1:28" ht="15.5" customHeight="1">
      <c r="A168" s="19">
        <v>167</v>
      </c>
      <c r="B168" s="30" t="s">
        <v>985</v>
      </c>
      <c r="C168" s="30" t="s">
        <v>888</v>
      </c>
      <c r="D168" s="32" t="s">
        <v>986</v>
      </c>
      <c r="E168" s="30" t="s">
        <v>987</v>
      </c>
      <c r="F168" s="30" t="s">
        <v>988</v>
      </c>
      <c r="G168" s="30">
        <v>2019</v>
      </c>
      <c r="H168" s="30" t="s">
        <v>897</v>
      </c>
      <c r="I168" s="30" t="str">
        <f t="shared" si="0"/>
        <v>Recent</v>
      </c>
      <c r="J168" s="30" t="str">
        <f t="shared" si="1"/>
        <v>Yes</v>
      </c>
      <c r="K168" s="30"/>
      <c r="L168" s="30"/>
      <c r="M168" s="18"/>
      <c r="N168" s="18"/>
      <c r="O168" s="18"/>
      <c r="P168" s="18"/>
      <c r="Q168" s="18"/>
      <c r="R168" s="18"/>
      <c r="S168" s="18"/>
      <c r="T168" s="18"/>
      <c r="U168" s="18"/>
      <c r="V168" s="18"/>
      <c r="W168" s="18"/>
      <c r="X168" s="18"/>
      <c r="Y168" s="18"/>
      <c r="Z168" s="18"/>
      <c r="AA168" s="18"/>
      <c r="AB168" s="18"/>
    </row>
    <row r="169" spans="1:28" ht="15.5" customHeight="1">
      <c r="A169" s="19">
        <v>168</v>
      </c>
      <c r="B169" s="30" t="s">
        <v>989</v>
      </c>
      <c r="C169" s="30" t="s">
        <v>888</v>
      </c>
      <c r="D169" s="32" t="s">
        <v>990</v>
      </c>
      <c r="E169" s="30" t="s">
        <v>991</v>
      </c>
      <c r="F169" s="30" t="s">
        <v>992</v>
      </c>
      <c r="G169" s="30">
        <v>2016</v>
      </c>
      <c r="H169" s="30" t="s">
        <v>897</v>
      </c>
      <c r="I169" s="30" t="str">
        <f t="shared" si="0"/>
        <v>Middle</v>
      </c>
      <c r="J169" s="30" t="str">
        <f t="shared" si="1"/>
        <v>Yes</v>
      </c>
      <c r="K169" s="30"/>
      <c r="L169" s="30"/>
      <c r="M169" s="18"/>
      <c r="N169" s="18"/>
      <c r="O169" s="18"/>
      <c r="P169" s="18"/>
      <c r="Q169" s="18"/>
      <c r="R169" s="18"/>
      <c r="S169" s="18"/>
      <c r="T169" s="18"/>
      <c r="U169" s="18"/>
      <c r="V169" s="18"/>
      <c r="W169" s="18"/>
      <c r="X169" s="18"/>
      <c r="Y169" s="18"/>
      <c r="Z169" s="18"/>
      <c r="AA169" s="18"/>
      <c r="AB169" s="18"/>
    </row>
    <row r="170" spans="1:28" ht="15.5" customHeight="1">
      <c r="A170" s="23">
        <v>169</v>
      </c>
      <c r="B170" s="23" t="s">
        <v>993</v>
      </c>
      <c r="C170" s="23" t="s">
        <v>994</v>
      </c>
      <c r="D170" s="34"/>
      <c r="E170" s="23" t="s">
        <v>995</v>
      </c>
      <c r="F170" s="23" t="s">
        <v>996</v>
      </c>
      <c r="G170" s="23">
        <v>2014</v>
      </c>
      <c r="H170" s="23" t="s">
        <v>997</v>
      </c>
      <c r="I170" s="23" t="str">
        <f t="shared" si="0"/>
        <v>Middle</v>
      </c>
      <c r="J170" s="23" t="str">
        <f t="shared" si="1"/>
        <v>No</v>
      </c>
      <c r="K170" s="23"/>
      <c r="L170" s="23"/>
      <c r="M170" s="23"/>
      <c r="N170" s="23"/>
      <c r="O170" s="23"/>
      <c r="P170" s="23"/>
      <c r="Q170" s="23"/>
      <c r="R170" s="23"/>
      <c r="S170" s="23"/>
      <c r="T170" s="23"/>
      <c r="U170" s="23"/>
      <c r="V170" s="23"/>
      <c r="W170" s="23"/>
      <c r="X170" s="23"/>
      <c r="Y170" s="23"/>
      <c r="Z170" s="23"/>
      <c r="AA170" s="23"/>
      <c r="AB170" s="23"/>
    </row>
    <row r="171" spans="1:28" ht="14" customHeight="1">
      <c r="A171" s="23">
        <v>170</v>
      </c>
      <c r="B171" s="23" t="s">
        <v>998</v>
      </c>
      <c r="C171" s="23" t="s">
        <v>994</v>
      </c>
      <c r="D171" s="35"/>
      <c r="E171" s="23" t="s">
        <v>999</v>
      </c>
      <c r="F171" s="23" t="s">
        <v>1000</v>
      </c>
      <c r="G171" s="23">
        <v>2014</v>
      </c>
      <c r="H171" s="23" t="s">
        <v>1001</v>
      </c>
      <c r="I171" s="23" t="str">
        <f t="shared" si="0"/>
        <v>Middle</v>
      </c>
      <c r="J171" s="23" t="str">
        <f t="shared" si="1"/>
        <v>No</v>
      </c>
      <c r="K171" s="23"/>
      <c r="L171" s="23"/>
      <c r="M171" s="23"/>
      <c r="N171" s="23"/>
      <c r="O171" s="23"/>
      <c r="P171" s="23"/>
      <c r="Q171" s="23"/>
      <c r="R171" s="23"/>
      <c r="S171" s="23"/>
      <c r="T171" s="23"/>
      <c r="U171" s="23"/>
      <c r="V171" s="23"/>
      <c r="W171" s="23"/>
      <c r="X171" s="23"/>
      <c r="Y171" s="23"/>
      <c r="Z171" s="23"/>
      <c r="AA171" s="23"/>
      <c r="AB171" s="23"/>
    </row>
    <row r="172" spans="1:28" ht="15.5" customHeight="1">
      <c r="A172" s="19">
        <v>171</v>
      </c>
      <c r="B172" s="36" t="s">
        <v>1002</v>
      </c>
      <c r="C172" s="36" t="s">
        <v>994</v>
      </c>
      <c r="D172" s="32" t="s">
        <v>1003</v>
      </c>
      <c r="E172" s="36" t="s">
        <v>1004</v>
      </c>
      <c r="F172" s="36" t="s">
        <v>1005</v>
      </c>
      <c r="G172" s="36">
        <v>2007</v>
      </c>
      <c r="H172" s="36" t="s">
        <v>1006</v>
      </c>
      <c r="I172" s="36" t="str">
        <f t="shared" si="0"/>
        <v>Early</v>
      </c>
      <c r="J172" s="36" t="str">
        <f t="shared" si="1"/>
        <v>Yes</v>
      </c>
      <c r="K172" s="36"/>
      <c r="L172" s="36"/>
      <c r="M172" s="18"/>
      <c r="N172" s="18"/>
      <c r="O172" s="18"/>
      <c r="P172" s="18"/>
      <c r="Q172" s="18"/>
      <c r="R172" s="18"/>
      <c r="S172" s="18"/>
      <c r="T172" s="18"/>
      <c r="U172" s="18"/>
      <c r="V172" s="18"/>
      <c r="W172" s="18"/>
      <c r="X172" s="18"/>
      <c r="Y172" s="18"/>
      <c r="Z172" s="18"/>
      <c r="AA172" s="18"/>
      <c r="AB172" s="18"/>
    </row>
    <row r="173" spans="1:28" ht="15.5" customHeight="1">
      <c r="A173" s="19">
        <v>172</v>
      </c>
      <c r="B173" s="36" t="s">
        <v>1007</v>
      </c>
      <c r="C173" s="36" t="s">
        <v>994</v>
      </c>
      <c r="D173" s="32" t="s">
        <v>1008</v>
      </c>
      <c r="E173" s="36" t="s">
        <v>1009</v>
      </c>
      <c r="F173" s="36" t="s">
        <v>1005</v>
      </c>
      <c r="G173" s="36">
        <v>2009</v>
      </c>
      <c r="H173" s="36" t="s">
        <v>1010</v>
      </c>
      <c r="I173" s="36" t="str">
        <f t="shared" si="0"/>
        <v>Early</v>
      </c>
      <c r="J173" s="36" t="str">
        <f t="shared" si="1"/>
        <v>Yes</v>
      </c>
      <c r="K173" s="36"/>
      <c r="L173" s="36"/>
      <c r="M173" s="18"/>
      <c r="N173" s="18"/>
      <c r="O173" s="18"/>
      <c r="P173" s="18"/>
      <c r="Q173" s="18"/>
      <c r="R173" s="18"/>
      <c r="S173" s="18"/>
      <c r="T173" s="18"/>
      <c r="U173" s="18"/>
      <c r="V173" s="18"/>
      <c r="W173" s="18"/>
      <c r="X173" s="18"/>
      <c r="Y173" s="18"/>
      <c r="Z173" s="18"/>
      <c r="AA173" s="18"/>
      <c r="AB173" s="18"/>
    </row>
    <row r="174" spans="1:28" ht="12.5" customHeight="1">
      <c r="A174" s="19">
        <v>173</v>
      </c>
      <c r="B174" s="36" t="s">
        <v>1011</v>
      </c>
      <c r="C174" s="36" t="s">
        <v>994</v>
      </c>
      <c r="D174" s="4" t="s">
        <v>1012</v>
      </c>
      <c r="E174" s="36" t="s">
        <v>1013</v>
      </c>
      <c r="F174" s="36" t="s">
        <v>1014</v>
      </c>
      <c r="G174" s="36">
        <v>2018</v>
      </c>
      <c r="H174" s="36" t="s">
        <v>1015</v>
      </c>
      <c r="I174" s="36" t="str">
        <f t="shared" si="0"/>
        <v>Recent</v>
      </c>
      <c r="J174" s="36" t="str">
        <f t="shared" si="1"/>
        <v>Yes</v>
      </c>
      <c r="K174" s="36"/>
      <c r="L174" s="36"/>
      <c r="M174" s="18"/>
      <c r="N174" s="18"/>
      <c r="O174" s="18"/>
      <c r="P174" s="18"/>
      <c r="Q174" s="18"/>
      <c r="R174" s="18"/>
      <c r="S174" s="18"/>
      <c r="T174" s="18"/>
      <c r="U174" s="18"/>
      <c r="V174" s="18"/>
      <c r="W174" s="18"/>
      <c r="X174" s="18"/>
      <c r="Y174" s="18"/>
      <c r="Z174" s="18"/>
      <c r="AA174" s="18"/>
      <c r="AB174" s="18"/>
    </row>
    <row r="175" spans="1:28" ht="15.5" customHeight="1">
      <c r="A175" s="19">
        <v>174</v>
      </c>
      <c r="B175" s="36" t="s">
        <v>1016</v>
      </c>
      <c r="C175" s="36" t="s">
        <v>994</v>
      </c>
      <c r="D175" s="32" t="s">
        <v>1017</v>
      </c>
      <c r="E175" s="36" t="s">
        <v>1018</v>
      </c>
      <c r="F175" s="36" t="s">
        <v>1019</v>
      </c>
      <c r="G175" s="36">
        <v>1998</v>
      </c>
      <c r="H175" s="36" t="s">
        <v>548</v>
      </c>
      <c r="I175" s="36" t="str">
        <f t="shared" si="0"/>
        <v>Early</v>
      </c>
      <c r="J175" s="36" t="str">
        <f t="shared" si="1"/>
        <v>Yes</v>
      </c>
      <c r="K175" s="36"/>
      <c r="L175" s="36"/>
      <c r="M175" s="18"/>
      <c r="N175" s="18"/>
      <c r="O175" s="18"/>
      <c r="P175" s="18"/>
      <c r="Q175" s="18"/>
      <c r="R175" s="18"/>
      <c r="S175" s="18"/>
      <c r="T175" s="18"/>
      <c r="U175" s="18"/>
      <c r="V175" s="18"/>
      <c r="W175" s="18"/>
      <c r="X175" s="18"/>
      <c r="Y175" s="18"/>
      <c r="Z175" s="18"/>
      <c r="AA175" s="18"/>
      <c r="AB175" s="18"/>
    </row>
    <row r="176" spans="1:28" ht="15.5" customHeight="1">
      <c r="A176" s="19">
        <v>175</v>
      </c>
      <c r="B176" s="36" t="s">
        <v>1020</v>
      </c>
      <c r="C176" s="36" t="s">
        <v>994</v>
      </c>
      <c r="D176" s="32" t="s">
        <v>1021</v>
      </c>
      <c r="E176" s="36" t="s">
        <v>1022</v>
      </c>
      <c r="F176" s="36" t="s">
        <v>1023</v>
      </c>
      <c r="G176" s="36">
        <v>2006</v>
      </c>
      <c r="H176" s="36" t="s">
        <v>1024</v>
      </c>
      <c r="I176" s="36" t="str">
        <f t="shared" si="0"/>
        <v>Early</v>
      </c>
      <c r="J176" s="36" t="str">
        <f t="shared" si="1"/>
        <v>Yes</v>
      </c>
      <c r="K176" s="36"/>
      <c r="L176" s="36"/>
      <c r="M176" s="18"/>
      <c r="N176" s="18"/>
      <c r="O176" s="18"/>
      <c r="P176" s="18"/>
      <c r="Q176" s="18"/>
      <c r="R176" s="18"/>
      <c r="S176" s="18"/>
      <c r="T176" s="18"/>
      <c r="U176" s="18"/>
      <c r="V176" s="18"/>
      <c r="W176" s="18"/>
      <c r="X176" s="18"/>
      <c r="Y176" s="18"/>
      <c r="Z176" s="18"/>
      <c r="AA176" s="18"/>
      <c r="AB176" s="18"/>
    </row>
    <row r="177" spans="1:28" ht="15.5" customHeight="1">
      <c r="A177" s="19">
        <v>176</v>
      </c>
      <c r="B177" s="36" t="s">
        <v>1025</v>
      </c>
      <c r="C177" s="36" t="s">
        <v>994</v>
      </c>
      <c r="D177" s="32" t="s">
        <v>1026</v>
      </c>
      <c r="E177" s="36" t="s">
        <v>1027</v>
      </c>
      <c r="F177" s="36" t="s">
        <v>1028</v>
      </c>
      <c r="G177" s="36">
        <v>2001</v>
      </c>
      <c r="H177" s="36" t="s">
        <v>1029</v>
      </c>
      <c r="I177" s="36" t="str">
        <f t="shared" si="0"/>
        <v>Early</v>
      </c>
      <c r="J177" s="36" t="str">
        <f t="shared" si="1"/>
        <v>Yes</v>
      </c>
      <c r="K177" s="36"/>
      <c r="L177" s="36"/>
      <c r="M177" s="18"/>
      <c r="N177" s="18"/>
      <c r="O177" s="18"/>
      <c r="P177" s="18"/>
      <c r="Q177" s="18"/>
      <c r="R177" s="18"/>
      <c r="S177" s="18"/>
      <c r="T177" s="18"/>
      <c r="U177" s="18"/>
      <c r="V177" s="18"/>
      <c r="W177" s="18"/>
      <c r="X177" s="18"/>
      <c r="Y177" s="18"/>
      <c r="Z177" s="18"/>
      <c r="AA177" s="18"/>
      <c r="AB177" s="18"/>
    </row>
    <row r="178" spans="1:28" ht="12.5" customHeight="1">
      <c r="A178" s="23">
        <v>177</v>
      </c>
      <c r="B178" s="23" t="s">
        <v>1030</v>
      </c>
      <c r="C178" s="23" t="s">
        <v>994</v>
      </c>
      <c r="D178" s="23"/>
      <c r="E178" s="23" t="s">
        <v>1031</v>
      </c>
      <c r="F178" s="23" t="s">
        <v>1032</v>
      </c>
      <c r="G178" s="23">
        <v>1981</v>
      </c>
      <c r="H178" s="23" t="s">
        <v>1033</v>
      </c>
      <c r="I178" s="23" t="str">
        <f t="shared" si="0"/>
        <v>Early</v>
      </c>
      <c r="J178" s="23" t="str">
        <f t="shared" si="1"/>
        <v>No</v>
      </c>
      <c r="K178" s="23"/>
      <c r="L178" s="23"/>
      <c r="M178" s="23"/>
      <c r="N178" s="23"/>
      <c r="O178" s="23"/>
      <c r="P178" s="23"/>
      <c r="Q178" s="23"/>
      <c r="R178" s="23"/>
      <c r="S178" s="23"/>
      <c r="T178" s="23"/>
      <c r="U178" s="23"/>
      <c r="V178" s="23"/>
      <c r="W178" s="23"/>
      <c r="X178" s="23"/>
      <c r="Y178" s="23"/>
      <c r="Z178" s="23"/>
      <c r="AA178" s="23"/>
      <c r="AB178" s="23"/>
    </row>
    <row r="179" spans="1:28" ht="15.5" customHeight="1">
      <c r="A179" s="23">
        <v>178</v>
      </c>
      <c r="B179" s="23" t="s">
        <v>1034</v>
      </c>
      <c r="C179" s="23" t="s">
        <v>994</v>
      </c>
      <c r="D179" s="34"/>
      <c r="E179" s="23" t="s">
        <v>1035</v>
      </c>
      <c r="F179" s="23" t="s">
        <v>1032</v>
      </c>
      <c r="G179" s="23">
        <v>1983</v>
      </c>
      <c r="H179" s="23" t="s">
        <v>1036</v>
      </c>
      <c r="I179" s="23" t="str">
        <f t="shared" si="0"/>
        <v>Early</v>
      </c>
      <c r="J179" s="23" t="str">
        <f t="shared" si="1"/>
        <v>No</v>
      </c>
      <c r="K179" s="23"/>
      <c r="L179" s="23"/>
      <c r="M179" s="23"/>
      <c r="N179" s="23"/>
      <c r="O179" s="23"/>
      <c r="P179" s="23"/>
      <c r="Q179" s="23"/>
      <c r="R179" s="23"/>
      <c r="S179" s="23"/>
      <c r="T179" s="23"/>
      <c r="U179" s="23"/>
      <c r="V179" s="23"/>
      <c r="W179" s="23"/>
      <c r="X179" s="23"/>
      <c r="Y179" s="23"/>
      <c r="Z179" s="23"/>
      <c r="AA179" s="23"/>
      <c r="AB179" s="23"/>
    </row>
    <row r="180" spans="1:28" ht="15.5" customHeight="1">
      <c r="A180" s="19">
        <v>179</v>
      </c>
      <c r="B180" s="36" t="s">
        <v>1037</v>
      </c>
      <c r="C180" s="36" t="s">
        <v>994</v>
      </c>
      <c r="D180" s="32" t="s">
        <v>1038</v>
      </c>
      <c r="E180" s="36" t="s">
        <v>1039</v>
      </c>
      <c r="F180" s="36" t="s">
        <v>1040</v>
      </c>
      <c r="G180" s="36">
        <v>2013</v>
      </c>
      <c r="H180" s="36" t="s">
        <v>1041</v>
      </c>
      <c r="I180" s="36" t="str">
        <f t="shared" si="0"/>
        <v>Middle</v>
      </c>
      <c r="J180" s="36" t="str">
        <f t="shared" si="1"/>
        <v>Yes</v>
      </c>
      <c r="K180" s="36"/>
      <c r="L180" s="36"/>
      <c r="M180" s="18"/>
      <c r="N180" s="18"/>
      <c r="O180" s="18"/>
      <c r="P180" s="18"/>
      <c r="Q180" s="18"/>
      <c r="R180" s="18"/>
      <c r="S180" s="18"/>
      <c r="T180" s="18"/>
      <c r="U180" s="18"/>
      <c r="V180" s="18"/>
      <c r="W180" s="18"/>
      <c r="X180" s="18"/>
      <c r="Y180" s="18"/>
      <c r="Z180" s="18"/>
      <c r="AA180" s="18"/>
      <c r="AB180" s="18"/>
    </row>
    <row r="181" spans="1:28" ht="12.5" customHeight="1">
      <c r="A181" s="23">
        <v>180</v>
      </c>
      <c r="B181" s="23" t="s">
        <v>1042</v>
      </c>
      <c r="C181" s="23" t="s">
        <v>994</v>
      </c>
      <c r="D181" s="37"/>
      <c r="E181" s="23" t="s">
        <v>1043</v>
      </c>
      <c r="F181" s="23" t="s">
        <v>1044</v>
      </c>
      <c r="G181" s="23">
        <v>2017</v>
      </c>
      <c r="H181" s="23" t="s">
        <v>1045</v>
      </c>
      <c r="I181" s="23" t="str">
        <f t="shared" si="0"/>
        <v>Middle</v>
      </c>
      <c r="J181" s="23" t="str">
        <f t="shared" si="1"/>
        <v>No</v>
      </c>
      <c r="K181" s="23"/>
      <c r="L181" s="23"/>
      <c r="M181" s="23"/>
      <c r="N181" s="23"/>
      <c r="O181" s="23"/>
      <c r="P181" s="23"/>
      <c r="Q181" s="23"/>
      <c r="R181" s="23"/>
      <c r="S181" s="23"/>
      <c r="T181" s="23"/>
      <c r="U181" s="23"/>
      <c r="V181" s="23"/>
      <c r="W181" s="23"/>
      <c r="X181" s="23"/>
      <c r="Y181" s="23"/>
      <c r="Z181" s="23"/>
      <c r="AA181" s="23"/>
      <c r="AB181" s="23"/>
    </row>
    <row r="182" spans="1:28" ht="15.5" customHeight="1">
      <c r="A182" s="19">
        <v>181</v>
      </c>
      <c r="B182" s="36" t="s">
        <v>1046</v>
      </c>
      <c r="C182" s="36" t="s">
        <v>994</v>
      </c>
      <c r="D182" s="32" t="s">
        <v>1047</v>
      </c>
      <c r="E182" s="36" t="s">
        <v>1048</v>
      </c>
      <c r="F182" s="36" t="s">
        <v>1049</v>
      </c>
      <c r="G182" s="36">
        <v>1996</v>
      </c>
      <c r="H182" s="36" t="s">
        <v>1050</v>
      </c>
      <c r="I182" s="36" t="str">
        <f t="shared" si="0"/>
        <v>Early</v>
      </c>
      <c r="J182" s="36" t="str">
        <f t="shared" si="1"/>
        <v>Yes</v>
      </c>
      <c r="K182" s="36"/>
      <c r="L182" s="36"/>
      <c r="M182" s="18"/>
      <c r="N182" s="18"/>
      <c r="O182" s="18"/>
      <c r="P182" s="18"/>
      <c r="Q182" s="18"/>
      <c r="R182" s="18"/>
      <c r="S182" s="18"/>
      <c r="T182" s="18"/>
      <c r="U182" s="18"/>
      <c r="V182" s="18"/>
      <c r="W182" s="18"/>
      <c r="X182" s="18"/>
      <c r="Y182" s="18"/>
      <c r="Z182" s="18"/>
      <c r="AA182" s="18"/>
      <c r="AB182" s="18"/>
    </row>
    <row r="183" spans="1:28" ht="15.5" customHeight="1">
      <c r="A183" s="19">
        <v>182</v>
      </c>
      <c r="B183" s="36" t="s">
        <v>1051</v>
      </c>
      <c r="C183" s="36" t="s">
        <v>994</v>
      </c>
      <c r="D183" s="32" t="s">
        <v>1052</v>
      </c>
      <c r="E183" s="36" t="s">
        <v>1053</v>
      </c>
      <c r="F183" s="36" t="s">
        <v>1054</v>
      </c>
      <c r="G183" s="36">
        <v>2007</v>
      </c>
      <c r="H183" s="36" t="s">
        <v>259</v>
      </c>
      <c r="I183" s="36" t="str">
        <f t="shared" si="0"/>
        <v>Early</v>
      </c>
      <c r="J183" s="36" t="str">
        <f t="shared" si="1"/>
        <v>Yes</v>
      </c>
      <c r="K183" s="36"/>
      <c r="L183" s="36"/>
      <c r="M183" s="18"/>
      <c r="N183" s="18"/>
      <c r="O183" s="18"/>
      <c r="P183" s="18"/>
      <c r="Q183" s="18"/>
      <c r="R183" s="18"/>
      <c r="S183" s="18"/>
      <c r="T183" s="18"/>
      <c r="U183" s="18"/>
      <c r="V183" s="18"/>
      <c r="W183" s="18"/>
      <c r="X183" s="18"/>
      <c r="Y183" s="18"/>
      <c r="Z183" s="18"/>
      <c r="AA183" s="18"/>
      <c r="AB183" s="18"/>
    </row>
    <row r="184" spans="1:28" ht="12.5" customHeight="1">
      <c r="A184" s="23">
        <v>183</v>
      </c>
      <c r="B184" s="23" t="s">
        <v>1055</v>
      </c>
      <c r="C184" s="23" t="s">
        <v>994</v>
      </c>
      <c r="D184" s="23"/>
      <c r="E184" s="23" t="s">
        <v>1056</v>
      </c>
      <c r="F184" s="23" t="s">
        <v>1057</v>
      </c>
      <c r="G184" s="23">
        <v>1994</v>
      </c>
      <c r="H184" s="23" t="s">
        <v>1058</v>
      </c>
      <c r="I184" s="23" t="str">
        <f t="shared" si="0"/>
        <v>Early</v>
      </c>
      <c r="J184" s="23" t="str">
        <f t="shared" si="1"/>
        <v>No</v>
      </c>
      <c r="K184" s="23"/>
      <c r="L184" s="23"/>
      <c r="M184" s="23"/>
      <c r="N184" s="23"/>
      <c r="O184" s="23"/>
      <c r="P184" s="23"/>
      <c r="Q184" s="23"/>
      <c r="R184" s="23"/>
      <c r="S184" s="23"/>
      <c r="T184" s="23"/>
      <c r="U184" s="23"/>
      <c r="V184" s="23"/>
      <c r="W184" s="23"/>
      <c r="X184" s="23"/>
      <c r="Y184" s="23"/>
      <c r="Z184" s="23"/>
      <c r="AA184" s="23"/>
      <c r="AB184" s="23"/>
    </row>
    <row r="185" spans="1:28" ht="15.5" customHeight="1">
      <c r="A185" s="19">
        <v>184</v>
      </c>
      <c r="B185" s="36" t="s">
        <v>1059</v>
      </c>
      <c r="C185" s="36" t="s">
        <v>994</v>
      </c>
      <c r="D185" s="32" t="s">
        <v>1060</v>
      </c>
      <c r="E185" s="36" t="s">
        <v>1061</v>
      </c>
      <c r="F185" s="36" t="s">
        <v>1062</v>
      </c>
      <c r="G185" s="36">
        <v>2010</v>
      </c>
      <c r="H185" s="36" t="s">
        <v>1063</v>
      </c>
      <c r="I185" s="36" t="str">
        <f t="shared" si="0"/>
        <v>Middle</v>
      </c>
      <c r="J185" s="36" t="str">
        <f t="shared" si="1"/>
        <v>Yes</v>
      </c>
      <c r="K185" s="36"/>
      <c r="L185" s="36"/>
      <c r="M185" s="18"/>
      <c r="N185" s="18"/>
      <c r="O185" s="18"/>
      <c r="P185" s="18"/>
      <c r="Q185" s="18"/>
      <c r="R185" s="18"/>
      <c r="S185" s="18"/>
      <c r="T185" s="18"/>
      <c r="U185" s="18"/>
      <c r="V185" s="18"/>
      <c r="W185" s="18"/>
      <c r="X185" s="18"/>
      <c r="Y185" s="18"/>
      <c r="Z185" s="18"/>
      <c r="AA185" s="18"/>
      <c r="AB185" s="18"/>
    </row>
    <row r="186" spans="1:28" ht="15.5" customHeight="1">
      <c r="A186" s="19">
        <v>185</v>
      </c>
      <c r="B186" s="36" t="s">
        <v>1064</v>
      </c>
      <c r="C186" s="36" t="s">
        <v>994</v>
      </c>
      <c r="D186" s="32" t="s">
        <v>1065</v>
      </c>
      <c r="E186" s="36" t="s">
        <v>1066</v>
      </c>
      <c r="F186" s="36" t="s">
        <v>1067</v>
      </c>
      <c r="G186" s="36">
        <v>2011</v>
      </c>
      <c r="H186" s="36" t="s">
        <v>1029</v>
      </c>
      <c r="I186" s="36" t="str">
        <f t="shared" si="0"/>
        <v>Middle</v>
      </c>
      <c r="J186" s="36" t="str">
        <f t="shared" si="1"/>
        <v>Yes</v>
      </c>
      <c r="K186" s="36"/>
      <c r="L186" s="36"/>
      <c r="M186" s="18"/>
      <c r="N186" s="18"/>
      <c r="O186" s="18"/>
      <c r="P186" s="18"/>
      <c r="Q186" s="18"/>
      <c r="R186" s="18"/>
      <c r="S186" s="18"/>
      <c r="T186" s="18"/>
      <c r="U186" s="18"/>
      <c r="V186" s="18"/>
      <c r="W186" s="18"/>
      <c r="X186" s="18"/>
      <c r="Y186" s="18"/>
      <c r="Z186" s="18"/>
      <c r="AA186" s="18"/>
      <c r="AB186" s="18"/>
    </row>
    <row r="187" spans="1:28" ht="15.5" customHeight="1">
      <c r="A187" s="19">
        <v>186</v>
      </c>
      <c r="B187" s="36" t="s">
        <v>1068</v>
      </c>
      <c r="C187" s="36" t="s">
        <v>994</v>
      </c>
      <c r="D187" s="32" t="s">
        <v>1069</v>
      </c>
      <c r="E187" s="36" t="s">
        <v>1070</v>
      </c>
      <c r="F187" s="36" t="s">
        <v>1071</v>
      </c>
      <c r="G187" s="36">
        <v>2003</v>
      </c>
      <c r="H187" s="36" t="s">
        <v>1029</v>
      </c>
      <c r="I187" s="36" t="str">
        <f t="shared" si="0"/>
        <v>Early</v>
      </c>
      <c r="J187" s="36" t="str">
        <f t="shared" si="1"/>
        <v>Yes</v>
      </c>
      <c r="K187" s="36"/>
      <c r="L187" s="36"/>
      <c r="M187" s="18"/>
      <c r="N187" s="18"/>
      <c r="O187" s="18"/>
      <c r="P187" s="18"/>
      <c r="Q187" s="18"/>
      <c r="R187" s="18"/>
      <c r="S187" s="18"/>
      <c r="T187" s="18"/>
      <c r="U187" s="18"/>
      <c r="V187" s="18"/>
      <c r="W187" s="18"/>
      <c r="X187" s="18"/>
      <c r="Y187" s="18"/>
      <c r="Z187" s="18"/>
      <c r="AA187" s="18"/>
      <c r="AB187" s="18"/>
    </row>
    <row r="188" spans="1:28" ht="15.5" customHeight="1">
      <c r="A188" s="23">
        <v>187</v>
      </c>
      <c r="B188" s="23" t="s">
        <v>1072</v>
      </c>
      <c r="C188" s="23" t="s">
        <v>994</v>
      </c>
      <c r="D188" s="34"/>
      <c r="E188" s="23" t="s">
        <v>1073</v>
      </c>
      <c r="F188" s="23" t="s">
        <v>1074</v>
      </c>
      <c r="G188" s="23">
        <v>1982</v>
      </c>
      <c r="H188" s="23" t="s">
        <v>1075</v>
      </c>
      <c r="I188" s="23" t="str">
        <f t="shared" si="0"/>
        <v>Early</v>
      </c>
      <c r="J188" s="23" t="str">
        <f t="shared" si="1"/>
        <v>No</v>
      </c>
      <c r="K188" s="23"/>
      <c r="L188" s="23"/>
      <c r="M188" s="23"/>
      <c r="N188" s="23"/>
      <c r="O188" s="23"/>
      <c r="P188" s="23"/>
      <c r="Q188" s="23"/>
      <c r="R188" s="23"/>
      <c r="S188" s="23"/>
      <c r="T188" s="23"/>
      <c r="U188" s="23"/>
      <c r="V188" s="23"/>
      <c r="W188" s="23"/>
      <c r="X188" s="23"/>
      <c r="Y188" s="23"/>
      <c r="Z188" s="23"/>
      <c r="AA188" s="23"/>
      <c r="AB188" s="23"/>
    </row>
    <row r="189" spans="1:28" ht="15.5" customHeight="1">
      <c r="A189" s="19">
        <v>188</v>
      </c>
      <c r="B189" s="36" t="s">
        <v>1076</v>
      </c>
      <c r="C189" s="36" t="s">
        <v>994</v>
      </c>
      <c r="D189" s="32" t="s">
        <v>1077</v>
      </c>
      <c r="E189" s="36" t="s">
        <v>1078</v>
      </c>
      <c r="F189" s="36" t="s">
        <v>1079</v>
      </c>
      <c r="G189" s="36">
        <v>2011</v>
      </c>
      <c r="H189" s="36" t="s">
        <v>1080</v>
      </c>
      <c r="I189" s="36" t="str">
        <f t="shared" si="0"/>
        <v>Middle</v>
      </c>
      <c r="J189" s="36" t="str">
        <f t="shared" si="1"/>
        <v>Yes</v>
      </c>
      <c r="K189" s="36"/>
      <c r="L189" s="36"/>
      <c r="M189" s="18"/>
      <c r="N189" s="18"/>
      <c r="O189" s="18"/>
      <c r="P189" s="18"/>
      <c r="Q189" s="18"/>
      <c r="R189" s="18"/>
      <c r="S189" s="18"/>
      <c r="T189" s="18"/>
      <c r="U189" s="18"/>
      <c r="V189" s="18"/>
      <c r="W189" s="18"/>
      <c r="X189" s="18"/>
      <c r="Y189" s="18"/>
      <c r="Z189" s="18"/>
      <c r="AA189" s="18"/>
      <c r="AB189" s="18"/>
    </row>
    <row r="190" spans="1:28" ht="15.5" customHeight="1">
      <c r="A190" s="19">
        <v>189</v>
      </c>
      <c r="B190" s="36" t="s">
        <v>1081</v>
      </c>
      <c r="C190" s="36" t="s">
        <v>994</v>
      </c>
      <c r="D190" s="32" t="s">
        <v>1082</v>
      </c>
      <c r="E190" s="36" t="s">
        <v>1083</v>
      </c>
      <c r="F190" s="36" t="s">
        <v>1084</v>
      </c>
      <c r="G190" s="36">
        <v>2016</v>
      </c>
      <c r="H190" s="36" t="s">
        <v>1085</v>
      </c>
      <c r="I190" s="36" t="str">
        <f t="shared" si="0"/>
        <v>Middle</v>
      </c>
      <c r="J190" s="36" t="str">
        <f t="shared" si="1"/>
        <v>Yes</v>
      </c>
      <c r="K190" s="36"/>
      <c r="L190" s="36"/>
      <c r="M190" s="18"/>
      <c r="N190" s="18"/>
      <c r="O190" s="18"/>
      <c r="P190" s="18"/>
      <c r="Q190" s="18"/>
      <c r="R190" s="18"/>
      <c r="S190" s="18"/>
      <c r="T190" s="18"/>
      <c r="U190" s="18"/>
      <c r="V190" s="18"/>
      <c r="W190" s="18"/>
      <c r="X190" s="18"/>
      <c r="Y190" s="18"/>
      <c r="Z190" s="18"/>
      <c r="AA190" s="18"/>
      <c r="AB190" s="18"/>
    </row>
    <row r="191" spans="1:28" ht="15.5" customHeight="1">
      <c r="A191" s="19">
        <v>190</v>
      </c>
      <c r="B191" s="36" t="s">
        <v>1086</v>
      </c>
      <c r="C191" s="36" t="s">
        <v>994</v>
      </c>
      <c r="D191" s="32" t="s">
        <v>1087</v>
      </c>
      <c r="E191" s="36" t="s">
        <v>1088</v>
      </c>
      <c r="F191" s="36" t="s">
        <v>1089</v>
      </c>
      <c r="G191" s="36">
        <v>2014</v>
      </c>
      <c r="H191" s="36" t="s">
        <v>1090</v>
      </c>
      <c r="I191" s="36" t="str">
        <f t="shared" si="0"/>
        <v>Middle</v>
      </c>
      <c r="J191" s="36" t="str">
        <f t="shared" si="1"/>
        <v>Yes</v>
      </c>
      <c r="K191" s="36"/>
      <c r="L191" s="36"/>
      <c r="M191" s="18"/>
      <c r="N191" s="18"/>
      <c r="O191" s="18"/>
      <c r="P191" s="18"/>
      <c r="Q191" s="18"/>
      <c r="R191" s="18"/>
      <c r="S191" s="18"/>
      <c r="T191" s="18"/>
      <c r="U191" s="18"/>
      <c r="V191" s="18"/>
      <c r="W191" s="18"/>
      <c r="X191" s="18"/>
      <c r="Y191" s="18"/>
      <c r="Z191" s="18"/>
      <c r="AA191" s="18"/>
      <c r="AB191" s="18"/>
    </row>
    <row r="192" spans="1:28" ht="15.5" customHeight="1">
      <c r="A192" s="19">
        <v>191</v>
      </c>
      <c r="B192" s="36" t="s">
        <v>1091</v>
      </c>
      <c r="C192" s="36" t="s">
        <v>994</v>
      </c>
      <c r="D192" s="32" t="s">
        <v>1092</v>
      </c>
      <c r="E192" s="36" t="s">
        <v>1093</v>
      </c>
      <c r="F192" s="36" t="s">
        <v>1089</v>
      </c>
      <c r="G192" s="36">
        <v>2015</v>
      </c>
      <c r="H192" s="36" t="s">
        <v>1094</v>
      </c>
      <c r="I192" s="36" t="str">
        <f t="shared" si="0"/>
        <v>Middle</v>
      </c>
      <c r="J192" s="36" t="str">
        <f t="shared" si="1"/>
        <v>Yes</v>
      </c>
      <c r="K192" s="36"/>
      <c r="L192" s="36"/>
      <c r="M192" s="18"/>
      <c r="N192" s="18"/>
      <c r="O192" s="18"/>
      <c r="P192" s="18"/>
      <c r="Q192" s="18"/>
      <c r="R192" s="18"/>
      <c r="S192" s="18"/>
      <c r="T192" s="18"/>
      <c r="U192" s="18"/>
      <c r="V192" s="18"/>
      <c r="W192" s="18"/>
      <c r="X192" s="18"/>
      <c r="Y192" s="18"/>
      <c r="Z192" s="18"/>
      <c r="AA192" s="18"/>
      <c r="AB192" s="18"/>
    </row>
    <row r="193" spans="1:28" ht="15.5" customHeight="1">
      <c r="A193" s="19">
        <v>192</v>
      </c>
      <c r="B193" s="36" t="s">
        <v>1095</v>
      </c>
      <c r="C193" s="36" t="s">
        <v>994</v>
      </c>
      <c r="D193" s="32" t="s">
        <v>1096</v>
      </c>
      <c r="E193" s="36" t="s">
        <v>1097</v>
      </c>
      <c r="F193" s="36" t="s">
        <v>1089</v>
      </c>
      <c r="G193" s="36">
        <v>2015</v>
      </c>
      <c r="H193" s="36" t="s">
        <v>1098</v>
      </c>
      <c r="I193" s="36" t="str">
        <f t="shared" si="0"/>
        <v>Middle</v>
      </c>
      <c r="J193" s="36" t="str">
        <f t="shared" si="1"/>
        <v>Yes</v>
      </c>
      <c r="K193" s="36"/>
      <c r="L193" s="36"/>
      <c r="M193" s="18"/>
      <c r="N193" s="18"/>
      <c r="O193" s="18"/>
      <c r="P193" s="18"/>
      <c r="Q193" s="18"/>
      <c r="R193" s="18"/>
      <c r="S193" s="18"/>
      <c r="T193" s="18"/>
      <c r="U193" s="18"/>
      <c r="V193" s="18"/>
      <c r="W193" s="18"/>
      <c r="X193" s="18"/>
      <c r="Y193" s="18"/>
      <c r="Z193" s="18"/>
      <c r="AA193" s="18"/>
      <c r="AB193" s="18"/>
    </row>
    <row r="194" spans="1:28" ht="15.5" customHeight="1">
      <c r="A194" s="19">
        <v>193</v>
      </c>
      <c r="B194" s="36" t="s">
        <v>1099</v>
      </c>
      <c r="C194" s="36" t="s">
        <v>994</v>
      </c>
      <c r="D194" s="32" t="s">
        <v>1100</v>
      </c>
      <c r="E194" s="36" t="s">
        <v>1101</v>
      </c>
      <c r="F194" s="36" t="s">
        <v>1102</v>
      </c>
      <c r="G194" s="36">
        <v>2008</v>
      </c>
      <c r="H194" s="36" t="s">
        <v>1010</v>
      </c>
      <c r="I194" s="36" t="str">
        <f t="shared" si="0"/>
        <v>Early</v>
      </c>
      <c r="J194" s="36" t="str">
        <f t="shared" si="1"/>
        <v>Yes</v>
      </c>
      <c r="K194" s="36"/>
      <c r="L194" s="36"/>
      <c r="M194" s="18"/>
      <c r="N194" s="18"/>
      <c r="O194" s="18"/>
      <c r="P194" s="18"/>
      <c r="Q194" s="18"/>
      <c r="R194" s="18"/>
      <c r="S194" s="18"/>
      <c r="T194" s="18"/>
      <c r="U194" s="18"/>
      <c r="V194" s="18"/>
      <c r="W194" s="18"/>
      <c r="X194" s="18"/>
      <c r="Y194" s="18"/>
      <c r="Z194" s="18"/>
      <c r="AA194" s="18"/>
      <c r="AB194" s="18"/>
    </row>
    <row r="195" spans="1:28" ht="15.5" customHeight="1">
      <c r="A195" s="19">
        <v>194</v>
      </c>
      <c r="B195" s="36" t="s">
        <v>1103</v>
      </c>
      <c r="C195" s="36" t="s">
        <v>994</v>
      </c>
      <c r="D195" s="32" t="s">
        <v>1104</v>
      </c>
      <c r="E195" s="36" t="s">
        <v>1105</v>
      </c>
      <c r="F195" s="36" t="s">
        <v>1106</v>
      </c>
      <c r="G195" s="36">
        <v>2011</v>
      </c>
      <c r="H195" s="36" t="s">
        <v>1107</v>
      </c>
      <c r="I195" s="36" t="str">
        <f t="shared" si="0"/>
        <v>Middle</v>
      </c>
      <c r="J195" s="36" t="str">
        <f t="shared" si="1"/>
        <v>Yes</v>
      </c>
      <c r="K195" s="36"/>
      <c r="L195" s="36"/>
      <c r="M195" s="18"/>
      <c r="N195" s="18"/>
      <c r="O195" s="18"/>
      <c r="P195" s="18"/>
      <c r="Q195" s="18"/>
      <c r="R195" s="18"/>
      <c r="S195" s="18"/>
      <c r="T195" s="18"/>
      <c r="U195" s="18"/>
      <c r="V195" s="18"/>
      <c r="W195" s="18"/>
      <c r="X195" s="18"/>
      <c r="Y195" s="18"/>
      <c r="Z195" s="18"/>
      <c r="AA195" s="18"/>
      <c r="AB195" s="18"/>
    </row>
    <row r="196" spans="1:28" ht="12.5" customHeight="1">
      <c r="A196" s="19">
        <v>195</v>
      </c>
      <c r="B196" s="36" t="s">
        <v>1108</v>
      </c>
      <c r="C196" s="36" t="s">
        <v>994</v>
      </c>
      <c r="D196" s="4" t="s">
        <v>1109</v>
      </c>
      <c r="E196" s="36" t="s">
        <v>1110</v>
      </c>
      <c r="F196" s="36" t="s">
        <v>1111</v>
      </c>
      <c r="G196" s="36">
        <v>2015</v>
      </c>
      <c r="H196" s="36" t="s">
        <v>1112</v>
      </c>
      <c r="I196" s="36" t="str">
        <f t="shared" si="0"/>
        <v>Middle</v>
      </c>
      <c r="J196" s="36" t="str">
        <f t="shared" si="1"/>
        <v>Yes</v>
      </c>
      <c r="K196" s="36"/>
      <c r="L196" s="36"/>
      <c r="M196" s="18"/>
      <c r="N196" s="18"/>
      <c r="O196" s="18"/>
      <c r="P196" s="18"/>
      <c r="Q196" s="18"/>
      <c r="R196" s="18"/>
      <c r="S196" s="18"/>
      <c r="T196" s="18"/>
      <c r="U196" s="18"/>
      <c r="V196" s="18"/>
      <c r="W196" s="18"/>
      <c r="X196" s="18"/>
      <c r="Y196" s="18"/>
      <c r="Z196" s="18"/>
      <c r="AA196" s="18"/>
      <c r="AB196" s="18"/>
    </row>
    <row r="197" spans="1:28" ht="15.5" customHeight="1">
      <c r="A197" s="19">
        <v>196</v>
      </c>
      <c r="B197" s="36" t="s">
        <v>1113</v>
      </c>
      <c r="C197" s="36" t="s">
        <v>994</v>
      </c>
      <c r="D197" s="32" t="s">
        <v>1114</v>
      </c>
      <c r="E197" s="36" t="s">
        <v>1115</v>
      </c>
      <c r="F197" s="36" t="s">
        <v>1116</v>
      </c>
      <c r="G197" s="36">
        <v>2012</v>
      </c>
      <c r="H197" s="36" t="s">
        <v>1117</v>
      </c>
      <c r="I197" s="36" t="str">
        <f t="shared" si="0"/>
        <v>Middle</v>
      </c>
      <c r="J197" s="36" t="str">
        <f t="shared" si="1"/>
        <v>Yes</v>
      </c>
      <c r="K197" s="36"/>
      <c r="L197" s="36"/>
      <c r="M197" s="18"/>
      <c r="N197" s="18"/>
      <c r="O197" s="18"/>
      <c r="P197" s="18"/>
      <c r="Q197" s="18"/>
      <c r="R197" s="18"/>
      <c r="S197" s="18"/>
      <c r="T197" s="18"/>
      <c r="U197" s="18"/>
      <c r="V197" s="18"/>
      <c r="W197" s="18"/>
      <c r="X197" s="18"/>
      <c r="Y197" s="18"/>
      <c r="Z197" s="18"/>
      <c r="AA197" s="18"/>
      <c r="AB197" s="18"/>
    </row>
    <row r="198" spans="1:28" ht="15.5" customHeight="1">
      <c r="A198" s="19">
        <v>197</v>
      </c>
      <c r="B198" s="36" t="s">
        <v>1118</v>
      </c>
      <c r="C198" s="36" t="s">
        <v>994</v>
      </c>
      <c r="D198" s="32" t="s">
        <v>1119</v>
      </c>
      <c r="E198" s="36" t="s">
        <v>1120</v>
      </c>
      <c r="F198" s="36" t="s">
        <v>1121</v>
      </c>
      <c r="G198" s="36">
        <v>2012</v>
      </c>
      <c r="H198" s="36" t="s">
        <v>1122</v>
      </c>
      <c r="I198" s="36" t="str">
        <f t="shared" si="0"/>
        <v>Middle</v>
      </c>
      <c r="J198" s="36" t="str">
        <f t="shared" si="1"/>
        <v>Yes</v>
      </c>
      <c r="K198" s="36"/>
      <c r="L198" s="36"/>
      <c r="M198" s="18"/>
      <c r="N198" s="18"/>
      <c r="O198" s="18"/>
      <c r="P198" s="18"/>
      <c r="Q198" s="18"/>
      <c r="R198" s="18"/>
      <c r="S198" s="18"/>
      <c r="T198" s="18"/>
      <c r="U198" s="18"/>
      <c r="V198" s="18"/>
      <c r="W198" s="18"/>
      <c r="X198" s="18"/>
      <c r="Y198" s="18"/>
      <c r="Z198" s="18"/>
      <c r="AA198" s="18"/>
      <c r="AB198" s="18"/>
    </row>
    <row r="199" spans="1:28" ht="15.5" customHeight="1">
      <c r="A199" s="19">
        <v>198</v>
      </c>
      <c r="B199" s="36" t="s">
        <v>1123</v>
      </c>
      <c r="C199" s="36" t="s">
        <v>994</v>
      </c>
      <c r="D199" s="32" t="s">
        <v>1124</v>
      </c>
      <c r="E199" s="36" t="s">
        <v>1125</v>
      </c>
      <c r="F199" s="36" t="s">
        <v>1126</v>
      </c>
      <c r="G199" s="36">
        <v>2015</v>
      </c>
      <c r="H199" s="36" t="s">
        <v>1127</v>
      </c>
      <c r="I199" s="36" t="str">
        <f t="shared" si="0"/>
        <v>Middle</v>
      </c>
      <c r="J199" s="36" t="str">
        <f t="shared" si="1"/>
        <v>Yes</v>
      </c>
      <c r="K199" s="36"/>
      <c r="L199" s="36"/>
      <c r="M199" s="18"/>
      <c r="N199" s="18"/>
      <c r="O199" s="18"/>
      <c r="P199" s="18"/>
      <c r="Q199" s="18"/>
      <c r="R199" s="18"/>
      <c r="S199" s="18"/>
      <c r="T199" s="18"/>
      <c r="U199" s="18"/>
      <c r="V199" s="18"/>
      <c r="W199" s="18"/>
      <c r="X199" s="18"/>
      <c r="Y199" s="18"/>
      <c r="Z199" s="18"/>
      <c r="AA199" s="18"/>
      <c r="AB199" s="18"/>
    </row>
    <row r="200" spans="1:28" ht="15.5" customHeight="1">
      <c r="A200" s="19">
        <v>199</v>
      </c>
      <c r="B200" s="36" t="s">
        <v>1128</v>
      </c>
      <c r="C200" s="36" t="s">
        <v>994</v>
      </c>
      <c r="D200" s="38" t="s">
        <v>1129</v>
      </c>
      <c r="E200" s="36" t="s">
        <v>1130</v>
      </c>
      <c r="F200" s="36" t="s">
        <v>1126</v>
      </c>
      <c r="G200" s="36">
        <v>2018</v>
      </c>
      <c r="H200" s="36" t="s">
        <v>1131</v>
      </c>
      <c r="I200" s="36" t="str">
        <f t="shared" si="0"/>
        <v>Recent</v>
      </c>
      <c r="J200" s="36" t="str">
        <f t="shared" si="1"/>
        <v>Yes</v>
      </c>
      <c r="K200" s="36"/>
      <c r="L200" s="36"/>
      <c r="M200" s="18"/>
      <c r="N200" s="18"/>
      <c r="O200" s="18"/>
      <c r="P200" s="18"/>
      <c r="Q200" s="18"/>
      <c r="R200" s="18"/>
      <c r="S200" s="18"/>
      <c r="T200" s="18"/>
      <c r="U200" s="18"/>
      <c r="V200" s="18"/>
      <c r="W200" s="18"/>
      <c r="X200" s="18"/>
      <c r="Y200" s="18"/>
      <c r="Z200" s="18"/>
      <c r="AA200" s="18"/>
      <c r="AB200" s="18"/>
    </row>
    <row r="201" spans="1:28" ht="15.5" customHeight="1">
      <c r="A201" s="19">
        <v>200</v>
      </c>
      <c r="B201" s="36" t="s">
        <v>1132</v>
      </c>
      <c r="C201" s="36" t="s">
        <v>994</v>
      </c>
      <c r="D201" s="32" t="s">
        <v>1133</v>
      </c>
      <c r="E201" s="36" t="s">
        <v>1134</v>
      </c>
      <c r="F201" s="36" t="s">
        <v>1135</v>
      </c>
      <c r="G201" s="36">
        <v>2000</v>
      </c>
      <c r="H201" s="36" t="s">
        <v>1029</v>
      </c>
      <c r="I201" s="36" t="str">
        <f t="shared" si="0"/>
        <v>Early</v>
      </c>
      <c r="J201" s="36" t="str">
        <f t="shared" si="1"/>
        <v>Yes</v>
      </c>
      <c r="K201" s="36"/>
      <c r="L201" s="36"/>
      <c r="M201" s="18"/>
      <c r="N201" s="18"/>
      <c r="O201" s="18"/>
      <c r="P201" s="18"/>
      <c r="Q201" s="18"/>
      <c r="R201" s="18"/>
      <c r="S201" s="18"/>
      <c r="T201" s="18"/>
      <c r="U201" s="18"/>
      <c r="V201" s="18"/>
      <c r="W201" s="18"/>
      <c r="X201" s="18"/>
      <c r="Y201" s="18"/>
      <c r="Z201" s="18"/>
      <c r="AA201" s="18"/>
      <c r="AB201" s="18"/>
    </row>
    <row r="202" spans="1:28" ht="15.5" customHeight="1">
      <c r="A202" s="19">
        <v>201</v>
      </c>
      <c r="B202" s="36" t="s">
        <v>1136</v>
      </c>
      <c r="C202" s="36" t="s">
        <v>994</v>
      </c>
      <c r="D202" s="32" t="s">
        <v>1137</v>
      </c>
      <c r="E202" s="36" t="s">
        <v>1138</v>
      </c>
      <c r="F202" s="36" t="s">
        <v>1139</v>
      </c>
      <c r="G202" s="36">
        <v>1997</v>
      </c>
      <c r="H202" s="36" t="s">
        <v>1029</v>
      </c>
      <c r="I202" s="36" t="str">
        <f t="shared" si="0"/>
        <v>Early</v>
      </c>
      <c r="J202" s="36" t="str">
        <f t="shared" si="1"/>
        <v>Yes</v>
      </c>
      <c r="K202" s="36"/>
      <c r="L202" s="36"/>
      <c r="M202" s="18"/>
      <c r="N202" s="18"/>
      <c r="O202" s="18"/>
      <c r="P202" s="18"/>
      <c r="Q202" s="18"/>
      <c r="R202" s="18"/>
      <c r="S202" s="18"/>
      <c r="T202" s="18"/>
      <c r="U202" s="18"/>
      <c r="V202" s="18"/>
      <c r="W202" s="18"/>
      <c r="X202" s="18"/>
      <c r="Y202" s="18"/>
      <c r="Z202" s="18"/>
      <c r="AA202" s="18"/>
      <c r="AB202" s="18"/>
    </row>
    <row r="203" spans="1:28" ht="12.5" customHeight="1">
      <c r="A203" s="18">
        <v>202</v>
      </c>
      <c r="B203" s="18" t="s">
        <v>1140</v>
      </c>
      <c r="C203" s="18" t="s">
        <v>994</v>
      </c>
      <c r="D203" s="39" t="s">
        <v>1141</v>
      </c>
      <c r="E203" s="18" t="s">
        <v>1142</v>
      </c>
      <c r="F203" s="18" t="s">
        <v>1143</v>
      </c>
      <c r="G203" s="18">
        <v>2019</v>
      </c>
      <c r="H203" s="18" t="s">
        <v>1144</v>
      </c>
      <c r="I203" s="18" t="str">
        <f t="shared" si="0"/>
        <v>Recent</v>
      </c>
      <c r="J203" s="18" t="str">
        <f t="shared" si="1"/>
        <v>Yes</v>
      </c>
      <c r="K203" s="18"/>
      <c r="L203" s="18"/>
      <c r="M203" s="18"/>
      <c r="N203" s="18"/>
      <c r="O203" s="18"/>
      <c r="P203" s="18"/>
      <c r="Q203" s="18"/>
      <c r="R203" s="18"/>
      <c r="S203" s="18"/>
      <c r="T203" s="18"/>
      <c r="U203" s="18"/>
      <c r="V203" s="18"/>
      <c r="W203" s="18"/>
      <c r="X203" s="18"/>
      <c r="Y203" s="18"/>
      <c r="Z203" s="18"/>
      <c r="AA203" s="18"/>
      <c r="AB203" s="18"/>
    </row>
    <row r="204" spans="1:28" ht="15.5" customHeight="1">
      <c r="A204" s="19">
        <v>203</v>
      </c>
      <c r="B204" s="36" t="s">
        <v>1145</v>
      </c>
      <c r="C204" s="36" t="s">
        <v>994</v>
      </c>
      <c r="D204" s="32" t="s">
        <v>1146</v>
      </c>
      <c r="E204" s="36" t="s">
        <v>1147</v>
      </c>
      <c r="F204" s="36" t="s">
        <v>1148</v>
      </c>
      <c r="G204" s="36">
        <v>2015</v>
      </c>
      <c r="H204" s="36" t="s">
        <v>1149</v>
      </c>
      <c r="I204" s="36" t="str">
        <f t="shared" si="0"/>
        <v>Middle</v>
      </c>
      <c r="J204" s="36" t="str">
        <f t="shared" si="1"/>
        <v>Yes</v>
      </c>
      <c r="K204" s="36"/>
      <c r="L204" s="36"/>
      <c r="M204" s="18"/>
      <c r="N204" s="18"/>
      <c r="O204" s="18"/>
      <c r="P204" s="18"/>
      <c r="Q204" s="18"/>
      <c r="R204" s="18"/>
      <c r="S204" s="18"/>
      <c r="T204" s="18"/>
      <c r="U204" s="18"/>
      <c r="V204" s="18"/>
      <c r="W204" s="18"/>
      <c r="X204" s="18"/>
      <c r="Y204" s="18"/>
      <c r="Z204" s="18"/>
      <c r="AA204" s="18"/>
      <c r="AB204" s="18"/>
    </row>
    <row r="205" spans="1:28" ht="15.5" customHeight="1">
      <c r="A205" s="19">
        <v>204</v>
      </c>
      <c r="B205" s="36" t="s">
        <v>1150</v>
      </c>
      <c r="C205" s="36" t="s">
        <v>994</v>
      </c>
      <c r="D205" s="32" t="s">
        <v>1151</v>
      </c>
      <c r="E205" s="36" t="s">
        <v>1152</v>
      </c>
      <c r="F205" s="36" t="s">
        <v>1153</v>
      </c>
      <c r="G205" s="36">
        <v>2007</v>
      </c>
      <c r="H205" s="36" t="s">
        <v>1154</v>
      </c>
      <c r="I205" s="36" t="str">
        <f t="shared" si="0"/>
        <v>Early</v>
      </c>
      <c r="J205" s="36" t="str">
        <f t="shared" si="1"/>
        <v>Yes</v>
      </c>
      <c r="K205" s="36"/>
      <c r="L205" s="36"/>
      <c r="M205" s="18"/>
      <c r="N205" s="18"/>
      <c r="O205" s="18"/>
      <c r="P205" s="18"/>
      <c r="Q205" s="18"/>
      <c r="R205" s="18"/>
      <c r="S205" s="18"/>
      <c r="T205" s="18"/>
      <c r="U205" s="18"/>
      <c r="V205" s="18"/>
      <c r="W205" s="18"/>
      <c r="X205" s="18"/>
      <c r="Y205" s="18"/>
      <c r="Z205" s="18"/>
      <c r="AA205" s="18"/>
      <c r="AB205" s="18"/>
    </row>
    <row r="206" spans="1:28" ht="15.5" customHeight="1">
      <c r="A206" s="19">
        <v>205</v>
      </c>
      <c r="B206" s="36" t="s">
        <v>1155</v>
      </c>
      <c r="C206" s="36" t="s">
        <v>994</v>
      </c>
      <c r="D206" s="32" t="s">
        <v>1156</v>
      </c>
      <c r="E206" s="36" t="s">
        <v>1157</v>
      </c>
      <c r="F206" s="36" t="s">
        <v>1153</v>
      </c>
      <c r="G206" s="36">
        <v>2008</v>
      </c>
      <c r="H206" s="36" t="s">
        <v>1158</v>
      </c>
      <c r="I206" s="36" t="str">
        <f t="shared" si="0"/>
        <v>Early</v>
      </c>
      <c r="J206" s="36" t="str">
        <f t="shared" si="1"/>
        <v>Yes</v>
      </c>
      <c r="K206" s="36"/>
      <c r="L206" s="36"/>
      <c r="M206" s="18"/>
      <c r="N206" s="18"/>
      <c r="O206" s="18"/>
      <c r="P206" s="18"/>
      <c r="Q206" s="18"/>
      <c r="R206" s="18"/>
      <c r="S206" s="18"/>
      <c r="T206" s="18"/>
      <c r="U206" s="18"/>
      <c r="V206" s="18"/>
      <c r="W206" s="18"/>
      <c r="X206" s="18"/>
      <c r="Y206" s="18"/>
      <c r="Z206" s="18"/>
      <c r="AA206" s="18"/>
      <c r="AB206" s="18"/>
    </row>
    <row r="207" spans="1:28" ht="12.5" customHeight="1">
      <c r="A207" s="23">
        <v>206</v>
      </c>
      <c r="B207" s="23" t="s">
        <v>1159</v>
      </c>
      <c r="C207" s="23" t="s">
        <v>994</v>
      </c>
      <c r="D207" s="23"/>
      <c r="E207" s="23" t="s">
        <v>1160</v>
      </c>
      <c r="F207" s="23" t="s">
        <v>1161</v>
      </c>
      <c r="G207" s="23">
        <v>1998</v>
      </c>
      <c r="H207" s="23" t="s">
        <v>1162</v>
      </c>
      <c r="I207" s="23" t="str">
        <f t="shared" si="0"/>
        <v>Early</v>
      </c>
      <c r="J207" s="23" t="str">
        <f t="shared" si="1"/>
        <v>No</v>
      </c>
      <c r="K207" s="23"/>
      <c r="L207" s="23"/>
      <c r="M207" s="23"/>
      <c r="N207" s="23"/>
      <c r="O207" s="23"/>
      <c r="P207" s="23"/>
      <c r="Q207" s="23"/>
      <c r="R207" s="23"/>
      <c r="S207" s="23"/>
      <c r="T207" s="23"/>
      <c r="U207" s="23"/>
      <c r="V207" s="23"/>
      <c r="W207" s="23"/>
      <c r="X207" s="23"/>
      <c r="Y207" s="23"/>
      <c r="Z207" s="23"/>
      <c r="AA207" s="23"/>
      <c r="AB207" s="23"/>
    </row>
    <row r="208" spans="1:28" ht="12.5" customHeight="1">
      <c r="A208" s="23">
        <v>207</v>
      </c>
      <c r="B208" s="23" t="s">
        <v>1163</v>
      </c>
      <c r="C208" s="23" t="s">
        <v>994</v>
      </c>
      <c r="D208" s="23"/>
      <c r="E208" s="23" t="s">
        <v>1164</v>
      </c>
      <c r="F208" s="23" t="s">
        <v>1165</v>
      </c>
      <c r="G208" s="23">
        <v>1990</v>
      </c>
      <c r="H208" s="23" t="s">
        <v>1166</v>
      </c>
      <c r="I208" s="23" t="str">
        <f t="shared" si="0"/>
        <v>Early</v>
      </c>
      <c r="J208" s="23" t="str">
        <f t="shared" si="1"/>
        <v>No</v>
      </c>
      <c r="K208" s="23"/>
      <c r="L208" s="23"/>
      <c r="M208" s="23"/>
      <c r="N208" s="23"/>
      <c r="O208" s="23"/>
      <c r="P208" s="23"/>
      <c r="Q208" s="23"/>
      <c r="R208" s="23"/>
      <c r="S208" s="23"/>
      <c r="T208" s="23"/>
      <c r="U208" s="23"/>
      <c r="V208" s="23"/>
      <c r="W208" s="23"/>
      <c r="X208" s="23"/>
      <c r="Y208" s="23"/>
      <c r="Z208" s="23"/>
      <c r="AA208" s="23"/>
      <c r="AB208" s="23"/>
    </row>
    <row r="209" spans="1:28" ht="15.5" customHeight="1">
      <c r="A209" s="19">
        <v>208</v>
      </c>
      <c r="B209" s="36" t="s">
        <v>1167</v>
      </c>
      <c r="C209" s="36" t="s">
        <v>994</v>
      </c>
      <c r="D209" s="32" t="s">
        <v>1168</v>
      </c>
      <c r="E209" s="36" t="s">
        <v>1169</v>
      </c>
      <c r="F209" s="36" t="s">
        <v>1170</v>
      </c>
      <c r="G209" s="36">
        <v>2018</v>
      </c>
      <c r="H209" s="36" t="s">
        <v>1158</v>
      </c>
      <c r="I209" s="36" t="str">
        <f t="shared" si="0"/>
        <v>Recent</v>
      </c>
      <c r="J209" s="36" t="str">
        <f t="shared" si="1"/>
        <v>Yes</v>
      </c>
      <c r="K209" s="36"/>
      <c r="L209" s="36"/>
      <c r="M209" s="18"/>
      <c r="N209" s="18"/>
      <c r="O209" s="18"/>
      <c r="P209" s="18"/>
      <c r="Q209" s="18"/>
      <c r="R209" s="18"/>
      <c r="S209" s="18"/>
      <c r="T209" s="18"/>
      <c r="U209" s="18"/>
      <c r="V209" s="18"/>
      <c r="W209" s="18"/>
      <c r="X209" s="18"/>
      <c r="Y209" s="18"/>
      <c r="Z209" s="18"/>
      <c r="AA209" s="18"/>
      <c r="AB209" s="18"/>
    </row>
    <row r="210" spans="1:28" ht="15.5" customHeight="1">
      <c r="A210" s="19">
        <v>209</v>
      </c>
      <c r="B210" s="36" t="s">
        <v>1171</v>
      </c>
      <c r="C210" s="36" t="s">
        <v>994</v>
      </c>
      <c r="D210" s="32" t="s">
        <v>1172</v>
      </c>
      <c r="E210" s="36" t="s">
        <v>1173</v>
      </c>
      <c r="F210" s="36" t="s">
        <v>449</v>
      </c>
      <c r="G210" s="36">
        <v>2014</v>
      </c>
      <c r="H210" s="36" t="s">
        <v>1010</v>
      </c>
      <c r="I210" s="36" t="str">
        <f t="shared" si="0"/>
        <v>Middle</v>
      </c>
      <c r="J210" s="36" t="str">
        <f t="shared" si="1"/>
        <v>Yes</v>
      </c>
      <c r="K210" s="36"/>
      <c r="L210" s="36"/>
      <c r="M210" s="18"/>
      <c r="N210" s="18"/>
      <c r="O210" s="18"/>
      <c r="P210" s="18"/>
      <c r="Q210" s="18"/>
      <c r="R210" s="18"/>
      <c r="S210" s="18"/>
      <c r="T210" s="18"/>
      <c r="U210" s="18"/>
      <c r="V210" s="18"/>
      <c r="W210" s="18"/>
      <c r="X210" s="18"/>
      <c r="Y210" s="18"/>
      <c r="Z210" s="18"/>
      <c r="AA210" s="18"/>
      <c r="AB210" s="18"/>
    </row>
    <row r="211" spans="1:28" ht="15.5" customHeight="1">
      <c r="A211" s="19">
        <v>210</v>
      </c>
      <c r="B211" s="36" t="s">
        <v>1174</v>
      </c>
      <c r="C211" s="36" t="s">
        <v>994</v>
      </c>
      <c r="D211" s="32" t="s">
        <v>1175</v>
      </c>
      <c r="E211" s="36" t="s">
        <v>1176</v>
      </c>
      <c r="F211" s="36" t="s">
        <v>1177</v>
      </c>
      <c r="G211" s="36">
        <v>1994</v>
      </c>
      <c r="H211" s="36" t="s">
        <v>1178</v>
      </c>
      <c r="I211" s="36" t="str">
        <f t="shared" si="0"/>
        <v>Early</v>
      </c>
      <c r="J211" s="36" t="str">
        <f t="shared" si="1"/>
        <v>Yes</v>
      </c>
      <c r="K211" s="36"/>
      <c r="L211" s="36"/>
      <c r="M211" s="18"/>
      <c r="N211" s="18"/>
      <c r="O211" s="18"/>
      <c r="P211" s="18"/>
      <c r="Q211" s="18"/>
      <c r="R211" s="18"/>
      <c r="S211" s="18"/>
      <c r="T211" s="18"/>
      <c r="U211" s="18"/>
      <c r="V211" s="18"/>
      <c r="W211" s="18"/>
      <c r="X211" s="18"/>
      <c r="Y211" s="18"/>
      <c r="Z211" s="18"/>
      <c r="AA211" s="18"/>
      <c r="AB211" s="18"/>
    </row>
    <row r="212" spans="1:28" ht="12.5" customHeight="1">
      <c r="A212" s="23">
        <v>211</v>
      </c>
      <c r="B212" s="23" t="s">
        <v>1179</v>
      </c>
      <c r="C212" s="23" t="s">
        <v>994</v>
      </c>
      <c r="D212" s="23"/>
      <c r="E212" s="23" t="s">
        <v>1180</v>
      </c>
      <c r="F212" s="23" t="s">
        <v>1181</v>
      </c>
      <c r="G212" s="23">
        <v>2002</v>
      </c>
      <c r="H212" s="23" t="s">
        <v>1182</v>
      </c>
      <c r="I212" s="23" t="str">
        <f t="shared" si="0"/>
        <v>Early</v>
      </c>
      <c r="J212" s="23" t="str">
        <f t="shared" si="1"/>
        <v>No</v>
      </c>
      <c r="K212" s="23"/>
      <c r="L212" s="23"/>
      <c r="M212" s="23"/>
      <c r="N212" s="23"/>
      <c r="O212" s="23"/>
      <c r="P212" s="23"/>
      <c r="Q212" s="23"/>
      <c r="R212" s="23"/>
      <c r="S212" s="23"/>
      <c r="T212" s="23"/>
      <c r="U212" s="23"/>
      <c r="V212" s="23"/>
      <c r="W212" s="23"/>
      <c r="X212" s="23"/>
      <c r="Y212" s="23"/>
      <c r="Z212" s="23"/>
      <c r="AA212" s="23"/>
      <c r="AB212" s="23"/>
    </row>
    <row r="213" spans="1:28" ht="12.5" customHeight="1">
      <c r="A213" s="23">
        <v>212</v>
      </c>
      <c r="B213" s="23" t="s">
        <v>1183</v>
      </c>
      <c r="C213" s="23" t="s">
        <v>994</v>
      </c>
      <c r="D213" s="23"/>
      <c r="E213" s="23" t="s">
        <v>1184</v>
      </c>
      <c r="F213" s="23" t="s">
        <v>1185</v>
      </c>
      <c r="G213" s="23">
        <v>2018</v>
      </c>
      <c r="H213" s="23" t="s">
        <v>1186</v>
      </c>
      <c r="I213" s="23" t="str">
        <f t="shared" si="0"/>
        <v>Recent</v>
      </c>
      <c r="J213" s="23" t="str">
        <f t="shared" si="1"/>
        <v>No</v>
      </c>
      <c r="K213" s="23"/>
      <c r="L213" s="23"/>
      <c r="M213" s="23"/>
      <c r="N213" s="23"/>
      <c r="O213" s="23"/>
      <c r="P213" s="23"/>
      <c r="Q213" s="23"/>
      <c r="R213" s="23"/>
      <c r="S213" s="23"/>
      <c r="T213" s="23"/>
      <c r="U213" s="23"/>
      <c r="V213" s="23"/>
      <c r="W213" s="23"/>
      <c r="X213" s="23"/>
      <c r="Y213" s="23"/>
      <c r="Z213" s="23"/>
      <c r="AA213" s="23"/>
      <c r="AB213" s="23"/>
    </row>
    <row r="214" spans="1:28" ht="12.5" customHeight="1">
      <c r="A214" s="23">
        <v>213</v>
      </c>
      <c r="B214" s="23" t="s">
        <v>1187</v>
      </c>
      <c r="C214" s="23" t="s">
        <v>994</v>
      </c>
      <c r="D214" s="37"/>
      <c r="E214" s="23" t="s">
        <v>1188</v>
      </c>
      <c r="F214" s="23" t="s">
        <v>490</v>
      </c>
      <c r="G214" s="23">
        <v>2017</v>
      </c>
      <c r="H214" s="23" t="s">
        <v>1045</v>
      </c>
      <c r="I214" s="23" t="str">
        <f t="shared" si="0"/>
        <v>Middle</v>
      </c>
      <c r="J214" s="23" t="str">
        <f t="shared" si="1"/>
        <v>No</v>
      </c>
      <c r="K214" s="23"/>
      <c r="L214" s="23"/>
      <c r="M214" s="23"/>
      <c r="N214" s="23"/>
      <c r="O214" s="23"/>
      <c r="P214" s="23"/>
      <c r="Q214" s="23"/>
      <c r="R214" s="23"/>
      <c r="S214" s="23"/>
      <c r="T214" s="23"/>
      <c r="U214" s="23"/>
      <c r="V214" s="23"/>
      <c r="W214" s="23"/>
      <c r="X214" s="23"/>
      <c r="Y214" s="23"/>
      <c r="Z214" s="23"/>
      <c r="AA214" s="23"/>
      <c r="AB214" s="23"/>
    </row>
    <row r="215" spans="1:28" ht="12.5" customHeight="1">
      <c r="A215" s="23">
        <v>214</v>
      </c>
      <c r="B215" s="23" t="s">
        <v>1189</v>
      </c>
      <c r="C215" s="23" t="s">
        <v>994</v>
      </c>
      <c r="D215" s="23"/>
      <c r="E215" s="23" t="s">
        <v>1190</v>
      </c>
      <c r="F215" s="23" t="s">
        <v>1191</v>
      </c>
      <c r="G215" s="23">
        <v>2009</v>
      </c>
      <c r="H215" s="23" t="s">
        <v>1192</v>
      </c>
      <c r="I215" s="23" t="str">
        <f t="shared" si="0"/>
        <v>Early</v>
      </c>
      <c r="J215" s="23" t="str">
        <f t="shared" si="1"/>
        <v>No</v>
      </c>
      <c r="K215" s="23"/>
      <c r="L215" s="23"/>
      <c r="M215" s="23"/>
      <c r="N215" s="23"/>
      <c r="O215" s="23"/>
      <c r="P215" s="23"/>
      <c r="Q215" s="23"/>
      <c r="R215" s="23"/>
      <c r="S215" s="23"/>
      <c r="T215" s="23"/>
      <c r="U215" s="23"/>
      <c r="V215" s="23"/>
      <c r="W215" s="23"/>
      <c r="X215" s="23"/>
      <c r="Y215" s="23"/>
      <c r="Z215" s="23"/>
      <c r="AA215" s="23"/>
      <c r="AB215" s="23"/>
    </row>
    <row r="216" spans="1:28" ht="12.5" customHeight="1">
      <c r="A216" s="23">
        <v>215</v>
      </c>
      <c r="B216" s="23" t="s">
        <v>1193</v>
      </c>
      <c r="C216" s="23" t="s">
        <v>994</v>
      </c>
      <c r="D216" s="23"/>
      <c r="E216" s="23" t="s">
        <v>1194</v>
      </c>
      <c r="F216" s="23" t="s">
        <v>1195</v>
      </c>
      <c r="G216" s="23">
        <v>1999</v>
      </c>
      <c r="H216" s="23" t="s">
        <v>1196</v>
      </c>
      <c r="I216" s="23" t="str">
        <f t="shared" si="0"/>
        <v>Early</v>
      </c>
      <c r="J216" s="23" t="str">
        <f t="shared" si="1"/>
        <v>No</v>
      </c>
      <c r="K216" s="23"/>
      <c r="L216" s="23"/>
      <c r="M216" s="23"/>
      <c r="N216" s="23"/>
      <c r="O216" s="23"/>
      <c r="P216" s="23"/>
      <c r="Q216" s="23"/>
      <c r="R216" s="23"/>
      <c r="S216" s="23"/>
      <c r="T216" s="23"/>
      <c r="U216" s="23"/>
      <c r="V216" s="23"/>
      <c r="W216" s="23"/>
      <c r="X216" s="23"/>
      <c r="Y216" s="23"/>
      <c r="Z216" s="23"/>
      <c r="AA216" s="23"/>
      <c r="AB216" s="23"/>
    </row>
    <row r="217" spans="1:28" ht="12.5" customHeight="1">
      <c r="A217" s="23">
        <v>216</v>
      </c>
      <c r="B217" s="23" t="s">
        <v>1197</v>
      </c>
      <c r="C217" s="23" t="s">
        <v>994</v>
      </c>
      <c r="D217" s="23"/>
      <c r="E217" s="23" t="s">
        <v>1198</v>
      </c>
      <c r="F217" s="23" t="s">
        <v>1195</v>
      </c>
      <c r="G217" s="23">
        <v>2004</v>
      </c>
      <c r="H217" s="23" t="s">
        <v>1199</v>
      </c>
      <c r="I217" s="23" t="str">
        <f t="shared" si="0"/>
        <v>Early</v>
      </c>
      <c r="J217" s="23" t="str">
        <f t="shared" si="1"/>
        <v>No</v>
      </c>
      <c r="K217" s="23"/>
      <c r="L217" s="23"/>
      <c r="M217" s="23"/>
      <c r="N217" s="23"/>
      <c r="O217" s="23"/>
      <c r="P217" s="23"/>
      <c r="Q217" s="23"/>
      <c r="R217" s="23"/>
      <c r="S217" s="23"/>
      <c r="T217" s="23"/>
      <c r="U217" s="23"/>
      <c r="V217" s="23"/>
      <c r="W217" s="23"/>
      <c r="X217" s="23"/>
      <c r="Y217" s="23"/>
      <c r="Z217" s="23"/>
      <c r="AA217" s="23"/>
      <c r="AB217" s="23"/>
    </row>
    <row r="218" spans="1:28" ht="15.5" customHeight="1">
      <c r="A218" s="19">
        <v>217</v>
      </c>
      <c r="B218" s="36" t="s">
        <v>1200</v>
      </c>
      <c r="C218" s="36" t="s">
        <v>994</v>
      </c>
      <c r="D218" s="32" t="s">
        <v>1201</v>
      </c>
      <c r="E218" s="36" t="s">
        <v>1202</v>
      </c>
      <c r="F218" s="36" t="s">
        <v>1203</v>
      </c>
      <c r="G218" s="36">
        <v>2005</v>
      </c>
      <c r="H218" s="36" t="s">
        <v>1090</v>
      </c>
      <c r="I218" s="36" t="str">
        <f t="shared" si="0"/>
        <v>Early</v>
      </c>
      <c r="J218" s="36" t="str">
        <f t="shared" si="1"/>
        <v>Yes</v>
      </c>
      <c r="K218" s="36"/>
      <c r="L218" s="36"/>
      <c r="M218" s="18"/>
      <c r="N218" s="18"/>
      <c r="O218" s="18"/>
      <c r="P218" s="18"/>
      <c r="Q218" s="18"/>
      <c r="R218" s="18"/>
      <c r="S218" s="18"/>
      <c r="T218" s="18"/>
      <c r="U218" s="18"/>
      <c r="V218" s="18"/>
      <c r="W218" s="18"/>
      <c r="X218" s="18"/>
      <c r="Y218" s="18"/>
      <c r="Z218" s="18"/>
      <c r="AA218" s="18"/>
      <c r="AB218" s="18"/>
    </row>
    <row r="219" spans="1:28" ht="15.5" customHeight="1">
      <c r="A219" s="23">
        <v>218</v>
      </c>
      <c r="B219" s="23" t="s">
        <v>1204</v>
      </c>
      <c r="C219" s="23" t="s">
        <v>994</v>
      </c>
      <c r="D219" s="34"/>
      <c r="E219" s="23" t="s">
        <v>1205</v>
      </c>
      <c r="F219" s="23" t="s">
        <v>828</v>
      </c>
      <c r="G219" s="23">
        <v>2001</v>
      </c>
      <c r="H219" s="23" t="s">
        <v>1206</v>
      </c>
      <c r="I219" s="23" t="str">
        <f t="shared" si="0"/>
        <v>Early</v>
      </c>
      <c r="J219" s="23" t="str">
        <f t="shared" si="1"/>
        <v>No</v>
      </c>
      <c r="K219" s="23"/>
      <c r="L219" s="23"/>
      <c r="M219" s="23"/>
      <c r="N219" s="23"/>
      <c r="O219" s="23"/>
      <c r="P219" s="23"/>
      <c r="Q219" s="23"/>
      <c r="R219" s="23"/>
      <c r="S219" s="23"/>
      <c r="T219" s="23"/>
      <c r="U219" s="23"/>
      <c r="V219" s="23"/>
      <c r="W219" s="23"/>
      <c r="X219" s="23"/>
      <c r="Y219" s="23"/>
      <c r="Z219" s="23"/>
      <c r="AA219" s="23"/>
      <c r="AB219" s="23"/>
    </row>
    <row r="220" spans="1:28" ht="15.5" customHeight="1">
      <c r="A220" s="19">
        <v>219</v>
      </c>
      <c r="B220" s="36" t="s">
        <v>1207</v>
      </c>
      <c r="C220" s="36" t="s">
        <v>994</v>
      </c>
      <c r="D220" s="32" t="s">
        <v>1208</v>
      </c>
      <c r="E220" s="36" t="s">
        <v>3160</v>
      </c>
      <c r="F220" s="36" t="s">
        <v>3158</v>
      </c>
      <c r="G220" s="36">
        <v>2019</v>
      </c>
      <c r="H220" s="36" t="s">
        <v>3159</v>
      </c>
      <c r="I220" s="36" t="str">
        <f t="shared" si="0"/>
        <v>Recent</v>
      </c>
      <c r="J220" s="36" t="str">
        <f t="shared" si="1"/>
        <v>Yes</v>
      </c>
      <c r="K220" s="36"/>
      <c r="L220" s="36"/>
      <c r="M220" s="18"/>
      <c r="N220" s="18"/>
      <c r="O220" s="18"/>
      <c r="P220" s="18"/>
      <c r="Q220" s="18"/>
      <c r="R220" s="18"/>
      <c r="S220" s="18"/>
      <c r="T220" s="18"/>
      <c r="U220" s="18"/>
      <c r="V220" s="18"/>
      <c r="W220" s="18"/>
      <c r="X220" s="18"/>
      <c r="Y220" s="18"/>
      <c r="Z220" s="18"/>
      <c r="AA220" s="18"/>
      <c r="AB220" s="18"/>
    </row>
    <row r="221" spans="1:28" ht="15.5" customHeight="1">
      <c r="A221" s="23">
        <v>220</v>
      </c>
      <c r="B221" s="23" t="s">
        <v>1209</v>
      </c>
      <c r="C221" s="23" t="s">
        <v>994</v>
      </c>
      <c r="D221" s="34"/>
      <c r="E221" s="23" t="s">
        <v>1210</v>
      </c>
      <c r="F221" s="23" t="s">
        <v>1211</v>
      </c>
      <c r="G221" s="23">
        <v>2008</v>
      </c>
      <c r="H221" s="23" t="s">
        <v>1212</v>
      </c>
      <c r="I221" s="23" t="str">
        <f t="shared" si="0"/>
        <v>Early</v>
      </c>
      <c r="J221" s="23" t="str">
        <f t="shared" si="1"/>
        <v>No</v>
      </c>
      <c r="K221" s="23"/>
      <c r="L221" s="23"/>
      <c r="M221" s="23"/>
      <c r="N221" s="23"/>
      <c r="O221" s="23"/>
      <c r="P221" s="23"/>
      <c r="Q221" s="23"/>
      <c r="R221" s="23"/>
      <c r="S221" s="23"/>
      <c r="T221" s="23"/>
      <c r="U221" s="23"/>
      <c r="V221" s="23"/>
      <c r="W221" s="23"/>
      <c r="X221" s="23"/>
      <c r="Y221" s="23"/>
      <c r="Z221" s="23"/>
      <c r="AA221" s="23"/>
      <c r="AB221" s="23"/>
    </row>
    <row r="222" spans="1:28" ht="15.5" customHeight="1">
      <c r="A222" s="19">
        <v>221</v>
      </c>
      <c r="B222" s="36" t="s">
        <v>1213</v>
      </c>
      <c r="C222" s="36" t="s">
        <v>994</v>
      </c>
      <c r="D222" s="32" t="s">
        <v>1214</v>
      </c>
      <c r="E222" s="36" t="s">
        <v>1215</v>
      </c>
      <c r="F222" s="36" t="s">
        <v>1216</v>
      </c>
      <c r="G222" s="36">
        <v>2008</v>
      </c>
      <c r="H222" s="36" t="s">
        <v>1149</v>
      </c>
      <c r="I222" s="36" t="str">
        <f t="shared" si="0"/>
        <v>Early</v>
      </c>
      <c r="J222" s="36" t="str">
        <f t="shared" si="1"/>
        <v>Yes</v>
      </c>
      <c r="K222" s="36"/>
      <c r="L222" s="36"/>
      <c r="M222" s="18"/>
      <c r="N222" s="18"/>
      <c r="O222" s="18"/>
      <c r="P222" s="18"/>
      <c r="Q222" s="18"/>
      <c r="R222" s="18"/>
      <c r="S222" s="18"/>
      <c r="T222" s="18"/>
      <c r="U222" s="18"/>
      <c r="V222" s="18"/>
      <c r="W222" s="18"/>
      <c r="X222" s="18"/>
      <c r="Y222" s="18"/>
      <c r="Z222" s="18"/>
      <c r="AA222" s="18"/>
      <c r="AB222" s="18"/>
    </row>
    <row r="223" spans="1:28" ht="15.5" customHeight="1">
      <c r="A223" s="19">
        <v>222</v>
      </c>
      <c r="B223" s="36" t="s">
        <v>1217</v>
      </c>
      <c r="C223" s="36" t="s">
        <v>994</v>
      </c>
      <c r="D223" s="32" t="s">
        <v>1218</v>
      </c>
      <c r="E223" s="36" t="s">
        <v>1219</v>
      </c>
      <c r="F223" s="36" t="s">
        <v>1220</v>
      </c>
      <c r="G223" s="36">
        <v>2012</v>
      </c>
      <c r="H223" s="36" t="s">
        <v>1221</v>
      </c>
      <c r="I223" s="36" t="str">
        <f t="shared" si="0"/>
        <v>Middle</v>
      </c>
      <c r="J223" s="36" t="str">
        <f t="shared" si="1"/>
        <v>Yes</v>
      </c>
      <c r="K223" s="36"/>
      <c r="L223" s="36"/>
      <c r="M223" s="18"/>
      <c r="N223" s="18"/>
      <c r="O223" s="18"/>
      <c r="P223" s="18"/>
      <c r="Q223" s="18"/>
      <c r="R223" s="18"/>
      <c r="S223" s="18"/>
      <c r="T223" s="18"/>
      <c r="U223" s="18"/>
      <c r="V223" s="18"/>
      <c r="W223" s="18"/>
      <c r="X223" s="18"/>
      <c r="Y223" s="18"/>
      <c r="Z223" s="18"/>
      <c r="AA223" s="18"/>
      <c r="AB223" s="18"/>
    </row>
    <row r="224" spans="1:28" ht="15.5" customHeight="1">
      <c r="A224" s="19">
        <v>223</v>
      </c>
      <c r="B224" s="36" t="s">
        <v>1222</v>
      </c>
      <c r="C224" s="36" t="s">
        <v>994</v>
      </c>
      <c r="D224" s="32" t="s">
        <v>1223</v>
      </c>
      <c r="E224" s="36" t="s">
        <v>1224</v>
      </c>
      <c r="F224" s="36" t="s">
        <v>1225</v>
      </c>
      <c r="G224" s="36">
        <v>2007</v>
      </c>
      <c r="H224" s="36" t="s">
        <v>1226</v>
      </c>
      <c r="I224" s="36" t="str">
        <f t="shared" si="0"/>
        <v>Early</v>
      </c>
      <c r="J224" s="36" t="str">
        <f t="shared" si="1"/>
        <v>Yes</v>
      </c>
      <c r="K224" s="36"/>
      <c r="L224" s="36"/>
      <c r="M224" s="18"/>
      <c r="N224" s="18"/>
      <c r="O224" s="18"/>
      <c r="P224" s="18"/>
      <c r="Q224" s="18"/>
      <c r="R224" s="18"/>
      <c r="S224" s="18"/>
      <c r="T224" s="18"/>
      <c r="U224" s="18"/>
      <c r="V224" s="18"/>
      <c r="W224" s="18"/>
      <c r="X224" s="18"/>
      <c r="Y224" s="18"/>
      <c r="Z224" s="18"/>
      <c r="AA224" s="18"/>
      <c r="AB224" s="18"/>
    </row>
    <row r="225" spans="1:28" ht="15.5" customHeight="1">
      <c r="A225" s="19">
        <v>224</v>
      </c>
      <c r="B225" s="36" t="s">
        <v>1227</v>
      </c>
      <c r="C225" s="36" t="s">
        <v>994</v>
      </c>
      <c r="D225" s="32" t="s">
        <v>1228</v>
      </c>
      <c r="E225" s="36" t="s">
        <v>1229</v>
      </c>
      <c r="F225" s="36" t="s">
        <v>1230</v>
      </c>
      <c r="G225" s="36">
        <v>1996</v>
      </c>
      <c r="H225" s="36" t="s">
        <v>1085</v>
      </c>
      <c r="I225" s="36" t="str">
        <f t="shared" si="0"/>
        <v>Early</v>
      </c>
      <c r="J225" s="36" t="str">
        <f t="shared" si="1"/>
        <v>Yes</v>
      </c>
      <c r="K225" s="36"/>
      <c r="L225" s="36"/>
      <c r="M225" s="18"/>
      <c r="N225" s="18"/>
      <c r="O225" s="18"/>
      <c r="P225" s="18"/>
      <c r="Q225" s="18"/>
      <c r="R225" s="18"/>
      <c r="S225" s="18"/>
      <c r="T225" s="18"/>
      <c r="U225" s="18"/>
      <c r="V225" s="18"/>
      <c r="W225" s="18"/>
      <c r="X225" s="18"/>
      <c r="Y225" s="18"/>
      <c r="Z225" s="18"/>
      <c r="AA225" s="18"/>
      <c r="AB225" s="18"/>
    </row>
    <row r="226" spans="1:28" ht="15.5" customHeight="1">
      <c r="A226" s="19">
        <v>225</v>
      </c>
      <c r="B226" s="36" t="s">
        <v>1231</v>
      </c>
      <c r="C226" s="36" t="s">
        <v>994</v>
      </c>
      <c r="D226" s="32" t="s">
        <v>1232</v>
      </c>
      <c r="E226" s="36" t="s">
        <v>1233</v>
      </c>
      <c r="F226" s="36" t="s">
        <v>1234</v>
      </c>
      <c r="G226" s="36">
        <v>2017</v>
      </c>
      <c r="H226" s="36" t="s">
        <v>1235</v>
      </c>
      <c r="I226" s="36" t="str">
        <f t="shared" si="0"/>
        <v>Middle</v>
      </c>
      <c r="J226" s="36" t="str">
        <f t="shared" si="1"/>
        <v>Yes</v>
      </c>
      <c r="K226" s="36"/>
      <c r="L226" s="36"/>
      <c r="M226" s="18"/>
      <c r="N226" s="18"/>
      <c r="O226" s="18"/>
      <c r="P226" s="18"/>
      <c r="Q226" s="18"/>
      <c r="R226" s="18"/>
      <c r="S226" s="18"/>
      <c r="T226" s="18"/>
      <c r="U226" s="18"/>
      <c r="V226" s="18"/>
      <c r="W226" s="18"/>
      <c r="X226" s="18"/>
      <c r="Y226" s="18"/>
      <c r="Z226" s="18"/>
      <c r="AA226" s="18"/>
      <c r="AB226" s="18"/>
    </row>
    <row r="227" spans="1:28" ht="12.5" customHeight="1">
      <c r="A227" s="23">
        <v>226</v>
      </c>
      <c r="B227" s="23" t="s">
        <v>1236</v>
      </c>
      <c r="C227" s="23" t="s">
        <v>994</v>
      </c>
      <c r="D227" s="23"/>
      <c r="E227" s="23" t="s">
        <v>1237</v>
      </c>
      <c r="F227" s="23" t="s">
        <v>1238</v>
      </c>
      <c r="G227" s="23">
        <v>2013</v>
      </c>
      <c r="H227" s="23" t="s">
        <v>1239</v>
      </c>
      <c r="I227" s="23" t="str">
        <f t="shared" si="0"/>
        <v>Middle</v>
      </c>
      <c r="J227" s="23" t="str">
        <f t="shared" si="1"/>
        <v>No</v>
      </c>
      <c r="K227" s="23"/>
      <c r="L227" s="23"/>
      <c r="M227" s="23"/>
      <c r="N227" s="23"/>
      <c r="O227" s="23"/>
      <c r="P227" s="23"/>
      <c r="Q227" s="23"/>
      <c r="R227" s="23"/>
      <c r="S227" s="23"/>
      <c r="T227" s="23"/>
      <c r="U227" s="23"/>
      <c r="V227" s="23"/>
      <c r="W227" s="23"/>
      <c r="X227" s="23"/>
      <c r="Y227" s="23"/>
      <c r="Z227" s="23"/>
      <c r="AA227" s="23"/>
      <c r="AB227" s="23"/>
    </row>
    <row r="228" spans="1:28" ht="12.5" customHeight="1">
      <c r="A228" s="23">
        <v>227</v>
      </c>
      <c r="B228" s="23" t="s">
        <v>1240</v>
      </c>
      <c r="C228" s="23" t="s">
        <v>994</v>
      </c>
      <c r="D228" s="23"/>
      <c r="E228" s="23" t="s">
        <v>1241</v>
      </c>
      <c r="F228" s="23" t="s">
        <v>1242</v>
      </c>
      <c r="G228" s="23">
        <v>2008</v>
      </c>
      <c r="H228" s="23" t="s">
        <v>1243</v>
      </c>
      <c r="I228" s="23" t="str">
        <f t="shared" si="0"/>
        <v>Early</v>
      </c>
      <c r="J228" s="23" t="str">
        <f t="shared" si="1"/>
        <v>No</v>
      </c>
      <c r="K228" s="23"/>
      <c r="L228" s="23"/>
      <c r="M228" s="23"/>
      <c r="N228" s="23"/>
      <c r="O228" s="23"/>
      <c r="P228" s="23"/>
      <c r="Q228" s="23"/>
      <c r="R228" s="23"/>
      <c r="S228" s="23"/>
      <c r="T228" s="23"/>
      <c r="U228" s="23"/>
      <c r="V228" s="23"/>
      <c r="W228" s="23"/>
      <c r="X228" s="23"/>
      <c r="Y228" s="23"/>
      <c r="Z228" s="23"/>
      <c r="AA228" s="23"/>
      <c r="AB228" s="23"/>
    </row>
    <row r="229" spans="1:28" ht="12.5" customHeight="1">
      <c r="A229" s="19">
        <v>228</v>
      </c>
      <c r="B229" s="36" t="s">
        <v>1244</v>
      </c>
      <c r="C229" s="36" t="s">
        <v>994</v>
      </c>
      <c r="D229" s="40" t="s">
        <v>1245</v>
      </c>
      <c r="E229" s="36" t="s">
        <v>1246</v>
      </c>
      <c r="F229" s="36" t="s">
        <v>1247</v>
      </c>
      <c r="G229" s="36">
        <v>1995</v>
      </c>
      <c r="H229" s="36" t="s">
        <v>1158</v>
      </c>
      <c r="I229" s="36" t="str">
        <f t="shared" si="0"/>
        <v>Early</v>
      </c>
      <c r="J229" s="36" t="str">
        <f t="shared" si="1"/>
        <v>Yes</v>
      </c>
      <c r="K229" s="36"/>
      <c r="L229" s="36"/>
      <c r="M229" s="18"/>
      <c r="N229" s="18"/>
      <c r="O229" s="18"/>
      <c r="P229" s="18"/>
      <c r="Q229" s="18"/>
      <c r="R229" s="18"/>
      <c r="S229" s="18"/>
      <c r="T229" s="18"/>
      <c r="U229" s="18"/>
      <c r="V229" s="18"/>
      <c r="W229" s="18"/>
      <c r="X229" s="18"/>
      <c r="Y229" s="18"/>
      <c r="Z229" s="18"/>
      <c r="AA229" s="18"/>
      <c r="AB229" s="18"/>
    </row>
    <row r="230" spans="1:28" ht="12.5" customHeight="1">
      <c r="A230" s="19">
        <v>229</v>
      </c>
      <c r="B230" s="36" t="s">
        <v>1248</v>
      </c>
      <c r="C230" s="36" t="s">
        <v>994</v>
      </c>
      <c r="D230" s="40" t="s">
        <v>1249</v>
      </c>
      <c r="E230" s="36" t="s">
        <v>1250</v>
      </c>
      <c r="F230" s="36" t="s">
        <v>1251</v>
      </c>
      <c r="G230" s="36">
        <v>2010</v>
      </c>
      <c r="H230" s="36" t="s">
        <v>1252</v>
      </c>
      <c r="I230" s="36" t="str">
        <f t="shared" si="0"/>
        <v>Middle</v>
      </c>
      <c r="J230" s="36" t="str">
        <f t="shared" si="1"/>
        <v>Yes</v>
      </c>
      <c r="K230" s="36"/>
      <c r="L230" s="36"/>
      <c r="M230" s="18"/>
      <c r="N230" s="18"/>
      <c r="O230" s="18"/>
      <c r="P230" s="18"/>
      <c r="Q230" s="18"/>
      <c r="R230" s="18"/>
      <c r="S230" s="18"/>
      <c r="T230" s="18"/>
      <c r="U230" s="18"/>
      <c r="V230" s="18"/>
      <c r="W230" s="18"/>
      <c r="X230" s="18"/>
      <c r="Y230" s="18"/>
      <c r="Z230" s="18"/>
      <c r="AA230" s="18"/>
      <c r="AB230" s="18"/>
    </row>
    <row r="231" spans="1:28" ht="12.5" customHeight="1">
      <c r="A231" s="19">
        <v>230</v>
      </c>
      <c r="B231" s="36" t="s">
        <v>1253</v>
      </c>
      <c r="C231" s="36" t="s">
        <v>994</v>
      </c>
      <c r="D231" s="40" t="s">
        <v>1254</v>
      </c>
      <c r="E231" s="36" t="s">
        <v>1255</v>
      </c>
      <c r="F231" s="36" t="s">
        <v>1256</v>
      </c>
      <c r="G231" s="36">
        <v>2012</v>
      </c>
      <c r="H231" s="36" t="s">
        <v>1149</v>
      </c>
      <c r="I231" s="36" t="str">
        <f t="shared" si="0"/>
        <v>Middle</v>
      </c>
      <c r="J231" s="36" t="str">
        <f t="shared" si="1"/>
        <v>Yes</v>
      </c>
      <c r="K231" s="36"/>
      <c r="L231" s="36"/>
      <c r="M231" s="18"/>
      <c r="N231" s="18"/>
      <c r="O231" s="18"/>
      <c r="P231" s="18"/>
      <c r="Q231" s="18"/>
      <c r="R231" s="18"/>
      <c r="S231" s="18"/>
      <c r="T231" s="18"/>
      <c r="U231" s="18"/>
      <c r="V231" s="18"/>
      <c r="W231" s="18"/>
      <c r="X231" s="18"/>
      <c r="Y231" s="18"/>
      <c r="Z231" s="18"/>
      <c r="AA231" s="18"/>
      <c r="AB231" s="18"/>
    </row>
    <row r="232" spans="1:28" ht="12.5" customHeight="1">
      <c r="A232" s="19">
        <v>231</v>
      </c>
      <c r="B232" s="36" t="s">
        <v>1257</v>
      </c>
      <c r="C232" s="36" t="s">
        <v>994</v>
      </c>
      <c r="D232" s="40" t="s">
        <v>1258</v>
      </c>
      <c r="E232" s="36" t="s">
        <v>1259</v>
      </c>
      <c r="F232" s="36" t="s">
        <v>1260</v>
      </c>
      <c r="G232" s="36">
        <v>2010</v>
      </c>
      <c r="H232" s="36" t="s">
        <v>1029</v>
      </c>
      <c r="I232" s="36" t="str">
        <f t="shared" si="0"/>
        <v>Middle</v>
      </c>
      <c r="J232" s="36" t="str">
        <f t="shared" si="1"/>
        <v>Yes</v>
      </c>
      <c r="K232" s="36"/>
      <c r="L232" s="36"/>
      <c r="M232" s="18"/>
      <c r="N232" s="18"/>
      <c r="O232" s="18"/>
      <c r="P232" s="18"/>
      <c r="Q232" s="18"/>
      <c r="R232" s="18"/>
      <c r="S232" s="18"/>
      <c r="T232" s="18"/>
      <c r="U232" s="18"/>
      <c r="V232" s="18"/>
      <c r="W232" s="18"/>
      <c r="X232" s="18"/>
      <c r="Y232" s="18"/>
      <c r="Z232" s="18"/>
      <c r="AA232" s="18"/>
      <c r="AB232" s="18"/>
    </row>
    <row r="233" spans="1:28" ht="12.5" customHeight="1">
      <c r="A233" s="19">
        <v>232</v>
      </c>
      <c r="B233" s="36" t="s">
        <v>1261</v>
      </c>
      <c r="C233" s="36" t="s">
        <v>994</v>
      </c>
      <c r="D233" s="40" t="s">
        <v>1262</v>
      </c>
      <c r="E233" s="36" t="s">
        <v>1263</v>
      </c>
      <c r="F233" s="36" t="s">
        <v>1264</v>
      </c>
      <c r="G233" s="36">
        <v>2002</v>
      </c>
      <c r="H233" s="36" t="s">
        <v>1158</v>
      </c>
      <c r="I233" s="36" t="str">
        <f t="shared" si="0"/>
        <v>Early</v>
      </c>
      <c r="J233" s="36" t="str">
        <f t="shared" si="1"/>
        <v>Yes</v>
      </c>
      <c r="K233" s="36"/>
      <c r="L233" s="36"/>
      <c r="M233" s="18"/>
      <c r="N233" s="18"/>
      <c r="O233" s="18"/>
      <c r="P233" s="18"/>
      <c r="Q233" s="18"/>
      <c r="R233" s="18"/>
      <c r="S233" s="18"/>
      <c r="T233" s="18"/>
      <c r="U233" s="18"/>
      <c r="V233" s="18"/>
      <c r="W233" s="18"/>
      <c r="X233" s="18"/>
      <c r="Y233" s="18"/>
      <c r="Z233" s="18"/>
      <c r="AA233" s="18"/>
      <c r="AB233" s="18"/>
    </row>
    <row r="234" spans="1:28" ht="12.5" customHeight="1">
      <c r="A234" s="19">
        <v>233</v>
      </c>
      <c r="B234" s="36" t="s">
        <v>1265</v>
      </c>
      <c r="C234" s="36" t="s">
        <v>994</v>
      </c>
      <c r="D234" s="40" t="s">
        <v>1266</v>
      </c>
      <c r="E234" s="36" t="s">
        <v>1267</v>
      </c>
      <c r="F234" s="36" t="s">
        <v>1264</v>
      </c>
      <c r="G234" s="36">
        <v>2002</v>
      </c>
      <c r="H234" s="36" t="s">
        <v>1158</v>
      </c>
      <c r="I234" s="36" t="str">
        <f t="shared" si="0"/>
        <v>Early</v>
      </c>
      <c r="J234" s="36" t="str">
        <f t="shared" si="1"/>
        <v>Yes</v>
      </c>
      <c r="K234" s="36"/>
      <c r="L234" s="36"/>
      <c r="M234" s="18"/>
      <c r="N234" s="18"/>
      <c r="O234" s="18"/>
      <c r="P234" s="18"/>
      <c r="Q234" s="18"/>
      <c r="R234" s="18"/>
      <c r="S234" s="18"/>
      <c r="T234" s="18"/>
      <c r="U234" s="18"/>
      <c r="V234" s="18"/>
      <c r="W234" s="18"/>
      <c r="X234" s="18"/>
      <c r="Y234" s="18"/>
      <c r="Z234" s="18"/>
      <c r="AA234" s="18"/>
      <c r="AB234" s="18"/>
    </row>
    <row r="235" spans="1:28" ht="12.5" customHeight="1">
      <c r="A235" s="19">
        <v>234</v>
      </c>
      <c r="B235" s="36" t="s">
        <v>1268</v>
      </c>
      <c r="C235" s="36" t="s">
        <v>994</v>
      </c>
      <c r="D235" s="40" t="s">
        <v>1269</v>
      </c>
      <c r="E235" s="36" t="s">
        <v>1270</v>
      </c>
      <c r="F235" s="36" t="s">
        <v>1271</v>
      </c>
      <c r="G235" s="36">
        <v>2005</v>
      </c>
      <c r="H235" s="36" t="s">
        <v>317</v>
      </c>
      <c r="I235" s="36" t="str">
        <f t="shared" si="0"/>
        <v>Early</v>
      </c>
      <c r="J235" s="36" t="str">
        <f t="shared" si="1"/>
        <v>Yes</v>
      </c>
      <c r="K235" s="36"/>
      <c r="L235" s="36"/>
      <c r="M235" s="18"/>
      <c r="N235" s="18"/>
      <c r="O235" s="18"/>
      <c r="P235" s="18"/>
      <c r="Q235" s="18"/>
      <c r="R235" s="18"/>
      <c r="S235" s="18"/>
      <c r="T235" s="18"/>
      <c r="U235" s="18"/>
      <c r="V235" s="18"/>
      <c r="W235" s="18"/>
      <c r="X235" s="18"/>
      <c r="Y235" s="18"/>
      <c r="Z235" s="18"/>
      <c r="AA235" s="18"/>
      <c r="AB235" s="18"/>
    </row>
    <row r="236" spans="1:28" ht="12.5" customHeight="1">
      <c r="A236" s="19">
        <v>235</v>
      </c>
      <c r="B236" s="36" t="s">
        <v>1272</v>
      </c>
      <c r="C236" s="36" t="s">
        <v>994</v>
      </c>
      <c r="D236" s="40" t="s">
        <v>1273</v>
      </c>
      <c r="E236" s="36" t="s">
        <v>1274</v>
      </c>
      <c r="F236" s="36" t="s">
        <v>1275</v>
      </c>
      <c r="G236" s="36">
        <v>2018</v>
      </c>
      <c r="H236" s="36" t="s">
        <v>1131</v>
      </c>
      <c r="I236" s="36" t="str">
        <f t="shared" si="0"/>
        <v>Recent</v>
      </c>
      <c r="J236" s="36" t="str">
        <f t="shared" si="1"/>
        <v>Yes</v>
      </c>
      <c r="K236" s="36"/>
      <c r="L236" s="36"/>
      <c r="M236" s="18"/>
      <c r="N236" s="18"/>
      <c r="O236" s="18"/>
      <c r="P236" s="18"/>
      <c r="Q236" s="18"/>
      <c r="R236" s="18"/>
      <c r="S236" s="18"/>
      <c r="T236" s="18"/>
      <c r="U236" s="18"/>
      <c r="V236" s="18"/>
      <c r="W236" s="18"/>
      <c r="X236" s="18"/>
      <c r="Y236" s="18"/>
      <c r="Z236" s="18"/>
      <c r="AA236" s="18"/>
      <c r="AB236" s="18"/>
    </row>
    <row r="237" spans="1:28" ht="12.5" customHeight="1">
      <c r="A237" s="19">
        <v>236</v>
      </c>
      <c r="B237" s="36" t="s">
        <v>1276</v>
      </c>
      <c r="C237" s="36" t="s">
        <v>994</v>
      </c>
      <c r="D237" s="40" t="s">
        <v>1277</v>
      </c>
      <c r="E237" s="36" t="s">
        <v>1278</v>
      </c>
      <c r="F237" s="36" t="s">
        <v>1279</v>
      </c>
      <c r="G237" s="36">
        <v>1997</v>
      </c>
      <c r="H237" s="36" t="s">
        <v>1090</v>
      </c>
      <c r="I237" s="36" t="str">
        <f t="shared" si="0"/>
        <v>Early</v>
      </c>
      <c r="J237" s="36" t="str">
        <f t="shared" si="1"/>
        <v>Yes</v>
      </c>
      <c r="K237" s="36"/>
      <c r="L237" s="36"/>
      <c r="M237" s="18"/>
      <c r="N237" s="18"/>
      <c r="O237" s="18"/>
      <c r="P237" s="18"/>
      <c r="Q237" s="18"/>
      <c r="R237" s="18"/>
      <c r="S237" s="18"/>
      <c r="T237" s="18"/>
      <c r="U237" s="18"/>
      <c r="V237" s="18"/>
      <c r="W237" s="18"/>
      <c r="X237" s="18"/>
      <c r="Y237" s="18"/>
      <c r="Z237" s="18"/>
      <c r="AA237" s="18"/>
      <c r="AB237" s="18"/>
    </row>
    <row r="238" spans="1:28" ht="12.5" customHeight="1">
      <c r="A238" s="19">
        <v>237</v>
      </c>
      <c r="B238" s="36" t="s">
        <v>1280</v>
      </c>
      <c r="C238" s="36" t="s">
        <v>994</v>
      </c>
      <c r="D238" s="40" t="s">
        <v>1281</v>
      </c>
      <c r="E238" s="36" t="s">
        <v>1282</v>
      </c>
      <c r="F238" s="36" t="s">
        <v>1279</v>
      </c>
      <c r="G238" s="36">
        <v>1997</v>
      </c>
      <c r="H238" s="36" t="s">
        <v>1158</v>
      </c>
      <c r="I238" s="36" t="str">
        <f t="shared" si="0"/>
        <v>Early</v>
      </c>
      <c r="J238" s="36" t="str">
        <f t="shared" si="1"/>
        <v>Yes</v>
      </c>
      <c r="K238" s="36"/>
      <c r="L238" s="36"/>
      <c r="M238" s="18"/>
      <c r="N238" s="18"/>
      <c r="O238" s="18"/>
      <c r="P238" s="18"/>
      <c r="Q238" s="18"/>
      <c r="R238" s="18"/>
      <c r="S238" s="18"/>
      <c r="T238" s="18"/>
      <c r="U238" s="18"/>
      <c r="V238" s="18"/>
      <c r="W238" s="18"/>
      <c r="X238" s="18"/>
      <c r="Y238" s="18"/>
      <c r="Z238" s="18"/>
      <c r="AA238" s="18"/>
      <c r="AB238" s="18"/>
    </row>
    <row r="239" spans="1:28" ht="12.5" customHeight="1">
      <c r="A239" s="19">
        <v>238</v>
      </c>
      <c r="B239" s="36" t="s">
        <v>1283</v>
      </c>
      <c r="C239" s="36" t="s">
        <v>994</v>
      </c>
      <c r="D239" s="40" t="s">
        <v>1284</v>
      </c>
      <c r="E239" s="36" t="s">
        <v>1285</v>
      </c>
      <c r="F239" s="36" t="s">
        <v>1279</v>
      </c>
      <c r="G239" s="36">
        <v>1997</v>
      </c>
      <c r="H239" s="36" t="s">
        <v>1029</v>
      </c>
      <c r="I239" s="36" t="str">
        <f t="shared" si="0"/>
        <v>Early</v>
      </c>
      <c r="J239" s="36" t="str">
        <f t="shared" si="1"/>
        <v>Yes</v>
      </c>
      <c r="K239" s="36"/>
      <c r="L239" s="36"/>
      <c r="M239" s="18"/>
      <c r="N239" s="18"/>
      <c r="O239" s="18"/>
      <c r="P239" s="18"/>
      <c r="Q239" s="18"/>
      <c r="R239" s="18"/>
      <c r="S239" s="18"/>
      <c r="T239" s="18"/>
      <c r="U239" s="18"/>
      <c r="V239" s="18"/>
      <c r="W239" s="18"/>
      <c r="X239" s="18"/>
      <c r="Y239" s="18"/>
      <c r="Z239" s="18"/>
      <c r="AA239" s="18"/>
      <c r="AB239" s="18"/>
    </row>
    <row r="240" spans="1:28" ht="12.5" customHeight="1">
      <c r="A240" s="19">
        <v>239</v>
      </c>
      <c r="B240" s="36" t="s">
        <v>1286</v>
      </c>
      <c r="C240" s="36" t="s">
        <v>994</v>
      </c>
      <c r="D240" s="40" t="s">
        <v>1287</v>
      </c>
      <c r="E240" s="36" t="s">
        <v>1288</v>
      </c>
      <c r="F240" s="36" t="s">
        <v>1289</v>
      </c>
      <c r="G240" s="36">
        <v>2013</v>
      </c>
      <c r="H240" s="36" t="s">
        <v>1290</v>
      </c>
      <c r="I240" s="36" t="str">
        <f t="shared" si="0"/>
        <v>Middle</v>
      </c>
      <c r="J240" s="36" t="str">
        <f t="shared" si="1"/>
        <v>Yes</v>
      </c>
      <c r="K240" s="36"/>
      <c r="L240" s="36"/>
      <c r="M240" s="18"/>
      <c r="N240" s="18"/>
      <c r="O240" s="18"/>
      <c r="P240" s="18"/>
      <c r="Q240" s="18"/>
      <c r="R240" s="18"/>
      <c r="S240" s="18"/>
      <c r="T240" s="18"/>
      <c r="U240" s="18"/>
      <c r="V240" s="18"/>
      <c r="W240" s="18"/>
      <c r="X240" s="18"/>
      <c r="Y240" s="18"/>
      <c r="Z240" s="18"/>
      <c r="AA240" s="18"/>
      <c r="AB240" s="18"/>
    </row>
    <row r="241" spans="1:28" ht="12.5" customHeight="1">
      <c r="A241" s="19">
        <v>240</v>
      </c>
      <c r="B241" s="36" t="s">
        <v>1291</v>
      </c>
      <c r="C241" s="36" t="s">
        <v>994</v>
      </c>
      <c r="D241" s="40" t="s">
        <v>1292</v>
      </c>
      <c r="E241" s="36" t="s">
        <v>1293</v>
      </c>
      <c r="F241" s="36" t="s">
        <v>1294</v>
      </c>
      <c r="G241" s="36">
        <v>2017</v>
      </c>
      <c r="H241" s="36" t="s">
        <v>1295</v>
      </c>
      <c r="I241" s="36" t="str">
        <f t="shared" si="0"/>
        <v>Middle</v>
      </c>
      <c r="J241" s="36" t="str">
        <f t="shared" si="1"/>
        <v>Yes</v>
      </c>
      <c r="K241" s="36"/>
      <c r="L241" s="36"/>
      <c r="M241" s="18"/>
      <c r="N241" s="18"/>
      <c r="O241" s="18"/>
      <c r="P241" s="18"/>
      <c r="Q241" s="18"/>
      <c r="R241" s="18"/>
      <c r="S241" s="18"/>
      <c r="T241" s="18"/>
      <c r="U241" s="18"/>
      <c r="V241" s="18"/>
      <c r="W241" s="18"/>
      <c r="X241" s="18"/>
      <c r="Y241" s="18"/>
      <c r="Z241" s="18"/>
      <c r="AA241" s="18"/>
      <c r="AB241" s="18"/>
    </row>
    <row r="242" spans="1:28" ht="12.5" customHeight="1">
      <c r="A242" s="19">
        <v>241</v>
      </c>
      <c r="B242" s="36" t="s">
        <v>1296</v>
      </c>
      <c r="C242" s="36" t="s">
        <v>994</v>
      </c>
      <c r="D242" s="40" t="s">
        <v>1297</v>
      </c>
      <c r="E242" s="36" t="s">
        <v>1298</v>
      </c>
      <c r="F242" s="36" t="s">
        <v>1299</v>
      </c>
      <c r="G242" s="36">
        <v>2019</v>
      </c>
      <c r="H242" s="36" t="s">
        <v>1098</v>
      </c>
      <c r="I242" s="36" t="str">
        <f t="shared" si="0"/>
        <v>Recent</v>
      </c>
      <c r="J242" s="36" t="str">
        <f t="shared" si="1"/>
        <v>Yes</v>
      </c>
      <c r="K242" s="36"/>
      <c r="L242" s="36"/>
      <c r="M242" s="18"/>
      <c r="N242" s="18"/>
      <c r="O242" s="18"/>
      <c r="P242" s="18"/>
      <c r="Q242" s="18"/>
      <c r="R242" s="18"/>
      <c r="S242" s="18"/>
      <c r="T242" s="18"/>
      <c r="U242" s="18"/>
      <c r="V242" s="18"/>
      <c r="W242" s="18"/>
      <c r="X242" s="18"/>
      <c r="Y242" s="18"/>
      <c r="Z242" s="18"/>
      <c r="AA242" s="18"/>
      <c r="AB242" s="18"/>
    </row>
    <row r="243" spans="1:28" ht="12.5" customHeight="1">
      <c r="A243" s="19">
        <v>242</v>
      </c>
      <c r="B243" s="36" t="s">
        <v>1300</v>
      </c>
      <c r="C243" s="36" t="s">
        <v>994</v>
      </c>
      <c r="D243" s="40" t="s">
        <v>1301</v>
      </c>
      <c r="E243" s="36" t="s">
        <v>1302</v>
      </c>
      <c r="F243" s="36" t="s">
        <v>1303</v>
      </c>
      <c r="G243" s="36">
        <v>2006</v>
      </c>
      <c r="H243" s="36" t="s">
        <v>1122</v>
      </c>
      <c r="I243" s="36" t="str">
        <f t="shared" si="0"/>
        <v>Early</v>
      </c>
      <c r="J243" s="36" t="str">
        <f t="shared" si="1"/>
        <v>Yes</v>
      </c>
      <c r="K243" s="36"/>
      <c r="L243" s="36"/>
      <c r="M243" s="18"/>
      <c r="N243" s="18"/>
      <c r="O243" s="18"/>
      <c r="P243" s="18"/>
      <c r="Q243" s="18"/>
      <c r="R243" s="18"/>
      <c r="S243" s="18"/>
      <c r="T243" s="18"/>
      <c r="U243" s="18"/>
      <c r="V243" s="18"/>
      <c r="W243" s="18"/>
      <c r="X243" s="18"/>
      <c r="Y243" s="18"/>
      <c r="Z243" s="18"/>
      <c r="AA243" s="18"/>
      <c r="AB243" s="18"/>
    </row>
    <row r="244" spans="1:28" ht="12.5" customHeight="1">
      <c r="A244" s="19">
        <v>243</v>
      </c>
      <c r="B244" s="36" t="s">
        <v>1304</v>
      </c>
      <c r="C244" s="36" t="s">
        <v>994</v>
      </c>
      <c r="D244" s="40" t="s">
        <v>1305</v>
      </c>
      <c r="E244" s="36" t="s">
        <v>1306</v>
      </c>
      <c r="F244" s="36" t="s">
        <v>1303</v>
      </c>
      <c r="G244" s="36">
        <v>2019</v>
      </c>
      <c r="H244" s="36" t="s">
        <v>1158</v>
      </c>
      <c r="I244" s="36" t="str">
        <f t="shared" si="0"/>
        <v>Recent</v>
      </c>
      <c r="J244" s="36" t="str">
        <f t="shared" si="1"/>
        <v>Yes</v>
      </c>
      <c r="K244" s="36"/>
      <c r="L244" s="36"/>
      <c r="M244" s="18"/>
      <c r="N244" s="18"/>
      <c r="O244" s="18"/>
      <c r="P244" s="18"/>
      <c r="Q244" s="18"/>
      <c r="R244" s="18"/>
      <c r="S244" s="18"/>
      <c r="T244" s="18"/>
      <c r="U244" s="18"/>
      <c r="V244" s="18"/>
      <c r="W244" s="18"/>
      <c r="X244" s="18"/>
      <c r="Y244" s="18"/>
      <c r="Z244" s="18"/>
      <c r="AA244" s="18"/>
      <c r="AB244" s="18"/>
    </row>
    <row r="245" spans="1:28" ht="12.5" customHeight="1">
      <c r="A245" s="19">
        <v>244</v>
      </c>
      <c r="B245" s="36" t="s">
        <v>1307</v>
      </c>
      <c r="C245" s="36" t="s">
        <v>994</v>
      </c>
      <c r="D245" s="40" t="s">
        <v>1308</v>
      </c>
      <c r="E245" s="36" t="s">
        <v>1309</v>
      </c>
      <c r="F245" s="36" t="s">
        <v>1310</v>
      </c>
      <c r="G245" s="36">
        <v>2009</v>
      </c>
      <c r="H245" s="36" t="s">
        <v>1311</v>
      </c>
      <c r="I245" s="36" t="str">
        <f t="shared" si="0"/>
        <v>Early</v>
      </c>
      <c r="J245" s="36" t="str">
        <f t="shared" si="1"/>
        <v>Yes</v>
      </c>
      <c r="K245" s="36"/>
      <c r="L245" s="36"/>
      <c r="M245" s="18"/>
      <c r="N245" s="18"/>
      <c r="O245" s="18"/>
      <c r="P245" s="18"/>
      <c r="Q245" s="18"/>
      <c r="R245" s="18"/>
      <c r="S245" s="18"/>
      <c r="T245" s="18"/>
      <c r="U245" s="18"/>
      <c r="V245" s="18"/>
      <c r="W245" s="18"/>
      <c r="X245" s="18"/>
      <c r="Y245" s="18"/>
      <c r="Z245" s="18"/>
      <c r="AA245" s="18"/>
      <c r="AB245" s="18"/>
    </row>
    <row r="246" spans="1:28" ht="12.5" customHeight="1">
      <c r="A246" s="23">
        <v>245</v>
      </c>
      <c r="B246" s="23" t="s">
        <v>1312</v>
      </c>
      <c r="C246" s="23" t="s">
        <v>994</v>
      </c>
      <c r="D246" s="23"/>
      <c r="E246" s="23" t="s">
        <v>1313</v>
      </c>
      <c r="F246" s="23" t="s">
        <v>1314</v>
      </c>
      <c r="G246" s="23">
        <v>2001</v>
      </c>
      <c r="H246" s="23" t="s">
        <v>1315</v>
      </c>
      <c r="I246" s="23" t="str">
        <f t="shared" si="0"/>
        <v>Early</v>
      </c>
      <c r="J246" s="23" t="str">
        <f t="shared" si="1"/>
        <v>No</v>
      </c>
      <c r="K246" s="23"/>
      <c r="L246" s="23"/>
      <c r="M246" s="23"/>
      <c r="N246" s="23"/>
      <c r="O246" s="23"/>
      <c r="P246" s="23"/>
      <c r="Q246" s="23"/>
      <c r="R246" s="23"/>
      <c r="S246" s="23"/>
      <c r="T246" s="23"/>
      <c r="U246" s="23"/>
      <c r="V246" s="23"/>
      <c r="W246" s="23"/>
      <c r="X246" s="23"/>
      <c r="Y246" s="23"/>
      <c r="Z246" s="23"/>
      <c r="AA246" s="23"/>
      <c r="AB246" s="23"/>
    </row>
    <row r="247" spans="1:28" ht="12.5" customHeight="1">
      <c r="A247" s="19">
        <v>246</v>
      </c>
      <c r="B247" s="36" t="s">
        <v>1316</v>
      </c>
      <c r="C247" s="36" t="s">
        <v>994</v>
      </c>
      <c r="D247" s="40" t="s">
        <v>1317</v>
      </c>
      <c r="E247" s="36" t="s">
        <v>1318</v>
      </c>
      <c r="F247" s="36" t="s">
        <v>1319</v>
      </c>
      <c r="G247" s="36">
        <v>2018</v>
      </c>
      <c r="H247" s="36" t="s">
        <v>1015</v>
      </c>
      <c r="I247" s="36" t="str">
        <f t="shared" si="0"/>
        <v>Recent</v>
      </c>
      <c r="J247" s="36" t="str">
        <f t="shared" si="1"/>
        <v>Yes</v>
      </c>
      <c r="K247" s="36"/>
      <c r="L247" s="36"/>
      <c r="M247" s="18"/>
      <c r="N247" s="18"/>
      <c r="O247" s="18"/>
      <c r="P247" s="18"/>
      <c r="Q247" s="18"/>
      <c r="R247" s="18"/>
      <c r="S247" s="18"/>
      <c r="T247" s="18"/>
      <c r="U247" s="18"/>
      <c r="V247" s="18"/>
      <c r="W247" s="18"/>
      <c r="X247" s="18"/>
      <c r="Y247" s="18"/>
      <c r="Z247" s="18"/>
      <c r="AA247" s="18"/>
      <c r="AB247" s="18"/>
    </row>
    <row r="248" spans="1:28" ht="12.5" customHeight="1">
      <c r="A248" s="19">
        <v>247</v>
      </c>
      <c r="B248" s="36" t="s">
        <v>1320</v>
      </c>
      <c r="C248" s="36" t="s">
        <v>994</v>
      </c>
      <c r="D248" s="40" t="s">
        <v>1321</v>
      </c>
      <c r="E248" s="36" t="s">
        <v>1322</v>
      </c>
      <c r="F248" s="36" t="s">
        <v>1323</v>
      </c>
      <c r="G248" s="36">
        <v>2007</v>
      </c>
      <c r="H248" s="36" t="s">
        <v>1090</v>
      </c>
      <c r="I248" s="36" t="str">
        <f t="shared" si="0"/>
        <v>Early</v>
      </c>
      <c r="J248" s="36" t="str">
        <f t="shared" si="1"/>
        <v>Yes</v>
      </c>
      <c r="K248" s="36"/>
      <c r="L248" s="36"/>
      <c r="M248" s="18"/>
      <c r="N248" s="18"/>
      <c r="O248" s="18"/>
      <c r="P248" s="18"/>
      <c r="Q248" s="18"/>
      <c r="R248" s="18"/>
      <c r="S248" s="18"/>
      <c r="T248" s="18"/>
      <c r="U248" s="18"/>
      <c r="V248" s="18"/>
      <c r="W248" s="18"/>
      <c r="X248" s="18"/>
      <c r="Y248" s="18"/>
      <c r="Z248" s="18"/>
      <c r="AA248" s="18"/>
      <c r="AB248" s="18"/>
    </row>
    <row r="249" spans="1:28" ht="12.5" customHeight="1">
      <c r="A249" s="23">
        <v>248</v>
      </c>
      <c r="B249" s="23" t="s">
        <v>1324</v>
      </c>
      <c r="C249" s="23" t="s">
        <v>994</v>
      </c>
      <c r="D249" s="23"/>
      <c r="E249" s="23" t="s">
        <v>1325</v>
      </c>
      <c r="F249" s="23" t="s">
        <v>1326</v>
      </c>
      <c r="G249" s="23">
        <v>2006</v>
      </c>
      <c r="H249" s="23" t="s">
        <v>589</v>
      </c>
      <c r="I249" s="23" t="str">
        <f t="shared" si="0"/>
        <v>Early</v>
      </c>
      <c r="J249" s="23" t="str">
        <f t="shared" si="1"/>
        <v>No</v>
      </c>
      <c r="K249" s="23"/>
      <c r="L249" s="23"/>
      <c r="M249" s="23"/>
      <c r="N249" s="23"/>
      <c r="O249" s="23"/>
      <c r="P249" s="23"/>
      <c r="Q249" s="23"/>
      <c r="R249" s="23"/>
      <c r="S249" s="23"/>
      <c r="T249" s="23"/>
      <c r="U249" s="23"/>
      <c r="V249" s="23"/>
      <c r="W249" s="23"/>
      <c r="X249" s="23"/>
      <c r="Y249" s="23"/>
      <c r="Z249" s="23"/>
      <c r="AA249" s="23"/>
      <c r="AB249" s="23"/>
    </row>
    <row r="250" spans="1:28" ht="12.5" customHeight="1">
      <c r="A250" s="19">
        <v>249</v>
      </c>
      <c r="B250" s="36" t="s">
        <v>1327</v>
      </c>
      <c r="C250" s="36" t="s">
        <v>994</v>
      </c>
      <c r="D250" s="40" t="s">
        <v>1328</v>
      </c>
      <c r="E250" s="36" t="s">
        <v>1329</v>
      </c>
      <c r="F250" s="36" t="s">
        <v>1330</v>
      </c>
      <c r="G250" s="36">
        <v>1989</v>
      </c>
      <c r="H250" s="36" t="s">
        <v>1226</v>
      </c>
      <c r="I250" s="36" t="str">
        <f t="shared" si="0"/>
        <v>Early</v>
      </c>
      <c r="J250" s="36" t="str">
        <f t="shared" si="1"/>
        <v>Yes</v>
      </c>
      <c r="K250" s="36"/>
      <c r="L250" s="36"/>
      <c r="M250" s="18"/>
      <c r="N250" s="18"/>
      <c r="O250" s="18"/>
      <c r="P250" s="18"/>
      <c r="Q250" s="18"/>
      <c r="R250" s="18"/>
      <c r="S250" s="18"/>
      <c r="T250" s="18"/>
      <c r="U250" s="18"/>
      <c r="V250" s="18"/>
      <c r="W250" s="18"/>
      <c r="X250" s="18"/>
      <c r="Y250" s="18"/>
      <c r="Z250" s="18"/>
      <c r="AA250" s="18"/>
      <c r="AB250" s="18"/>
    </row>
    <row r="251" spans="1:28" ht="12.5" customHeight="1">
      <c r="A251" s="19">
        <v>250</v>
      </c>
      <c r="B251" s="36" t="s">
        <v>1331</v>
      </c>
      <c r="C251" s="36" t="s">
        <v>994</v>
      </c>
      <c r="D251" s="40" t="s">
        <v>1332</v>
      </c>
      <c r="E251" s="36" t="s">
        <v>1333</v>
      </c>
      <c r="F251" s="36" t="s">
        <v>1334</v>
      </c>
      <c r="G251" s="36">
        <v>2013</v>
      </c>
      <c r="H251" s="36" t="s">
        <v>1335</v>
      </c>
      <c r="I251" s="36" t="str">
        <f t="shared" si="0"/>
        <v>Middle</v>
      </c>
      <c r="J251" s="36" t="str">
        <f t="shared" si="1"/>
        <v>Yes</v>
      </c>
      <c r="K251" s="36"/>
      <c r="L251" s="36"/>
      <c r="M251" s="18"/>
      <c r="N251" s="18"/>
      <c r="O251" s="18"/>
      <c r="P251" s="18"/>
      <c r="Q251" s="18"/>
      <c r="R251" s="18"/>
      <c r="S251" s="18"/>
      <c r="T251" s="18"/>
      <c r="U251" s="18"/>
      <c r="V251" s="18"/>
      <c r="W251" s="18"/>
      <c r="X251" s="18"/>
      <c r="Y251" s="18"/>
      <c r="Z251" s="18"/>
      <c r="AA251" s="18"/>
      <c r="AB251" s="18"/>
    </row>
    <row r="252" spans="1:28" ht="12.5" customHeight="1">
      <c r="A252" s="19">
        <v>251</v>
      </c>
      <c r="B252" s="41" t="s">
        <v>1336</v>
      </c>
      <c r="C252" s="41" t="s">
        <v>1337</v>
      </c>
      <c r="D252" s="42" t="s">
        <v>1338</v>
      </c>
      <c r="E252" s="41" t="s">
        <v>1339</v>
      </c>
      <c r="F252" s="41" t="s">
        <v>1340</v>
      </c>
      <c r="G252" s="41">
        <v>1987</v>
      </c>
      <c r="H252" s="41" t="s">
        <v>259</v>
      </c>
      <c r="I252" s="41"/>
      <c r="J252" s="41"/>
      <c r="K252" s="41"/>
      <c r="L252" s="41"/>
      <c r="M252" s="18"/>
      <c r="N252" s="18"/>
      <c r="O252" s="18"/>
      <c r="P252" s="18"/>
      <c r="Q252" s="18"/>
      <c r="R252" s="18"/>
      <c r="S252" s="18"/>
      <c r="T252" s="18"/>
      <c r="U252" s="18"/>
      <c r="V252" s="18"/>
      <c r="W252" s="18"/>
      <c r="X252" s="18"/>
      <c r="Y252" s="18"/>
      <c r="Z252" s="18"/>
      <c r="AA252" s="18"/>
      <c r="AB252" s="18"/>
    </row>
    <row r="253" spans="1:28" ht="12.5" customHeight="1">
      <c r="A253" s="19">
        <v>252</v>
      </c>
      <c r="B253" s="41" t="s">
        <v>1341</v>
      </c>
      <c r="C253" s="41" t="s">
        <v>1337</v>
      </c>
      <c r="D253" s="42" t="s">
        <v>1342</v>
      </c>
      <c r="E253" s="41" t="s">
        <v>1343</v>
      </c>
      <c r="F253" s="41" t="s">
        <v>1344</v>
      </c>
      <c r="G253" s="41">
        <v>2017</v>
      </c>
      <c r="H253" s="41" t="s">
        <v>1345</v>
      </c>
      <c r="I253" s="41"/>
      <c r="J253" s="41"/>
      <c r="K253" s="41"/>
      <c r="L253" s="41"/>
      <c r="M253" s="18"/>
      <c r="N253" s="18"/>
      <c r="O253" s="18"/>
      <c r="P253" s="18"/>
      <c r="Q253" s="18"/>
      <c r="R253" s="18"/>
      <c r="S253" s="18"/>
      <c r="T253" s="18"/>
      <c r="U253" s="18"/>
      <c r="V253" s="18"/>
      <c r="W253" s="18"/>
      <c r="X253" s="18"/>
      <c r="Y253" s="18"/>
      <c r="Z253" s="18"/>
      <c r="AA253" s="18"/>
      <c r="AB253" s="18"/>
    </row>
    <row r="254" spans="1:28" ht="12.5" customHeight="1">
      <c r="A254" s="19">
        <v>253</v>
      </c>
      <c r="B254" s="41" t="s">
        <v>1346</v>
      </c>
      <c r="C254" s="41" t="s">
        <v>1337</v>
      </c>
      <c r="D254" s="42" t="s">
        <v>1347</v>
      </c>
      <c r="E254" s="41" t="s">
        <v>1348</v>
      </c>
      <c r="F254" s="41" t="s">
        <v>1349</v>
      </c>
      <c r="G254" s="41">
        <v>1989</v>
      </c>
      <c r="H254" s="41" t="s">
        <v>1350</v>
      </c>
      <c r="I254" s="41"/>
      <c r="J254" s="41"/>
      <c r="K254" s="41"/>
      <c r="L254" s="41"/>
      <c r="M254" s="18"/>
      <c r="N254" s="18"/>
      <c r="O254" s="18"/>
      <c r="P254" s="18"/>
      <c r="Q254" s="18"/>
      <c r="R254" s="18"/>
      <c r="S254" s="18"/>
      <c r="T254" s="18"/>
      <c r="U254" s="18"/>
      <c r="V254" s="18"/>
      <c r="W254" s="18"/>
      <c r="X254" s="18"/>
      <c r="Y254" s="18"/>
      <c r="Z254" s="18"/>
      <c r="AA254" s="18"/>
      <c r="AB254" s="18"/>
    </row>
    <row r="255" spans="1:28" ht="12.5" customHeight="1">
      <c r="A255" s="19">
        <v>254</v>
      </c>
      <c r="B255" s="41" t="s">
        <v>1351</v>
      </c>
      <c r="C255" s="41" t="s">
        <v>1337</v>
      </c>
      <c r="D255" s="42" t="s">
        <v>1352</v>
      </c>
      <c r="E255" s="41" t="s">
        <v>1353</v>
      </c>
      <c r="F255" s="41" t="s">
        <v>1354</v>
      </c>
      <c r="G255" s="41">
        <v>2014</v>
      </c>
      <c r="H255" s="41" t="s">
        <v>1350</v>
      </c>
      <c r="I255" s="41"/>
      <c r="J255" s="41"/>
      <c r="K255" s="41"/>
      <c r="L255" s="41"/>
      <c r="M255" s="18"/>
      <c r="N255" s="18"/>
      <c r="O255" s="18"/>
      <c r="P255" s="18"/>
      <c r="Q255" s="18"/>
      <c r="R255" s="18"/>
      <c r="S255" s="18"/>
      <c r="T255" s="18"/>
      <c r="U255" s="18"/>
      <c r="V255" s="18"/>
      <c r="W255" s="18"/>
      <c r="X255" s="18"/>
      <c r="Y255" s="18"/>
      <c r="Z255" s="18"/>
      <c r="AA255" s="18"/>
      <c r="AB255" s="18"/>
    </row>
    <row r="256" spans="1:28" ht="12.5" customHeight="1">
      <c r="A256" s="23">
        <v>255</v>
      </c>
      <c r="B256" s="23" t="s">
        <v>1355</v>
      </c>
      <c r="C256" s="23" t="s">
        <v>1337</v>
      </c>
      <c r="D256" s="23"/>
      <c r="E256" s="23" t="s">
        <v>1356</v>
      </c>
      <c r="F256" s="23" t="s">
        <v>1357</v>
      </c>
      <c r="G256" s="23">
        <v>1982</v>
      </c>
      <c r="H256" s="23" t="s">
        <v>1358</v>
      </c>
      <c r="I256" s="23"/>
      <c r="J256" s="23"/>
      <c r="K256" s="23"/>
      <c r="L256" s="23"/>
      <c r="M256" s="23"/>
      <c r="N256" s="23"/>
      <c r="O256" s="23"/>
      <c r="P256" s="23"/>
      <c r="Q256" s="23"/>
      <c r="R256" s="23"/>
      <c r="S256" s="23"/>
      <c r="T256" s="23"/>
      <c r="U256" s="23"/>
      <c r="V256" s="23"/>
      <c r="W256" s="23"/>
      <c r="X256" s="23"/>
      <c r="Y256" s="23"/>
      <c r="Z256" s="23"/>
      <c r="AA256" s="23"/>
      <c r="AB256" s="23"/>
    </row>
    <row r="257" spans="1:28" ht="12.5" customHeight="1">
      <c r="A257" s="19">
        <v>256</v>
      </c>
      <c r="B257" s="41" t="s">
        <v>1359</v>
      </c>
      <c r="C257" s="41" t="s">
        <v>1337</v>
      </c>
      <c r="D257" s="42" t="s">
        <v>1360</v>
      </c>
      <c r="E257" s="41" t="s">
        <v>1361</v>
      </c>
      <c r="F257" s="41" t="s">
        <v>1362</v>
      </c>
      <c r="G257" s="41">
        <v>2000</v>
      </c>
      <c r="H257" s="41" t="s">
        <v>1363</v>
      </c>
      <c r="I257" s="41"/>
      <c r="J257" s="41"/>
      <c r="K257" s="41"/>
      <c r="L257" s="41"/>
      <c r="M257" s="18"/>
      <c r="N257" s="18"/>
      <c r="O257" s="18"/>
      <c r="P257" s="18"/>
      <c r="Q257" s="18"/>
      <c r="R257" s="18"/>
      <c r="S257" s="18"/>
      <c r="T257" s="18"/>
      <c r="U257" s="18"/>
      <c r="V257" s="18"/>
      <c r="W257" s="18"/>
      <c r="X257" s="18"/>
      <c r="Y257" s="18"/>
      <c r="Z257" s="18"/>
      <c r="AA257" s="18"/>
      <c r="AB257" s="18"/>
    </row>
    <row r="258" spans="1:28" ht="12.5" customHeight="1">
      <c r="A258" s="19">
        <v>257</v>
      </c>
      <c r="B258" s="41" t="s">
        <v>1364</v>
      </c>
      <c r="C258" s="41" t="s">
        <v>1337</v>
      </c>
      <c r="D258" s="42" t="s">
        <v>1365</v>
      </c>
      <c r="E258" s="41" t="s">
        <v>1366</v>
      </c>
      <c r="F258" s="41" t="s">
        <v>1367</v>
      </c>
      <c r="G258" s="41">
        <v>2003</v>
      </c>
      <c r="H258" s="41" t="s">
        <v>1368</v>
      </c>
      <c r="I258" s="41"/>
      <c r="J258" s="41"/>
      <c r="K258" s="41"/>
      <c r="L258" s="41"/>
      <c r="M258" s="18"/>
      <c r="N258" s="18"/>
      <c r="O258" s="18"/>
      <c r="P258" s="18"/>
      <c r="Q258" s="18"/>
      <c r="R258" s="18"/>
      <c r="S258" s="18"/>
      <c r="T258" s="18"/>
      <c r="U258" s="18"/>
      <c r="V258" s="18"/>
      <c r="W258" s="18"/>
      <c r="X258" s="18"/>
      <c r="Y258" s="18"/>
      <c r="Z258" s="18"/>
      <c r="AA258" s="18"/>
      <c r="AB258" s="18"/>
    </row>
    <row r="259" spans="1:28" ht="12.5" customHeight="1">
      <c r="A259" s="23">
        <v>258</v>
      </c>
      <c r="B259" s="23" t="s">
        <v>1369</v>
      </c>
      <c r="C259" s="23" t="s">
        <v>1337</v>
      </c>
      <c r="D259" s="23"/>
      <c r="E259" s="23" t="s">
        <v>1370</v>
      </c>
      <c r="F259" s="23" t="s">
        <v>1371</v>
      </c>
      <c r="G259" s="23">
        <v>1992</v>
      </c>
      <c r="H259" s="23" t="s">
        <v>1372</v>
      </c>
      <c r="I259" s="23"/>
      <c r="J259" s="23"/>
      <c r="K259" s="23"/>
      <c r="L259" s="23"/>
      <c r="M259" s="23"/>
      <c r="N259" s="23"/>
      <c r="O259" s="23"/>
      <c r="P259" s="23"/>
      <c r="Q259" s="23"/>
      <c r="R259" s="23"/>
      <c r="S259" s="23"/>
      <c r="T259" s="23"/>
      <c r="U259" s="23"/>
      <c r="V259" s="23"/>
      <c r="W259" s="23"/>
      <c r="X259" s="23"/>
      <c r="Y259" s="23"/>
      <c r="Z259" s="23"/>
      <c r="AA259" s="23"/>
      <c r="AB259" s="23"/>
    </row>
    <row r="260" spans="1:28" ht="12.5" customHeight="1">
      <c r="A260" s="19">
        <v>259</v>
      </c>
      <c r="B260" s="41" t="s">
        <v>1373</v>
      </c>
      <c r="C260" s="41" t="s">
        <v>1337</v>
      </c>
      <c r="D260" s="42" t="s">
        <v>1374</v>
      </c>
      <c r="E260" s="41" t="s">
        <v>1375</v>
      </c>
      <c r="F260" s="41" t="s">
        <v>1376</v>
      </c>
      <c r="G260" s="41">
        <v>1975</v>
      </c>
      <c r="H260" s="41" t="s">
        <v>668</v>
      </c>
      <c r="I260" s="41"/>
      <c r="J260" s="41"/>
      <c r="K260" s="41"/>
      <c r="L260" s="41"/>
      <c r="M260" s="18"/>
      <c r="N260" s="18"/>
      <c r="O260" s="18"/>
      <c r="P260" s="18"/>
      <c r="Q260" s="18"/>
      <c r="R260" s="18"/>
      <c r="S260" s="18"/>
      <c r="T260" s="18"/>
      <c r="U260" s="18"/>
      <c r="V260" s="18"/>
      <c r="W260" s="18"/>
      <c r="X260" s="18"/>
      <c r="Y260" s="18"/>
      <c r="Z260" s="18"/>
      <c r="AA260" s="18"/>
      <c r="AB260" s="18"/>
    </row>
    <row r="261" spans="1:28" ht="12.5" customHeight="1">
      <c r="A261" s="19">
        <v>260</v>
      </c>
      <c r="B261" s="41" t="s">
        <v>1377</v>
      </c>
      <c r="C261" s="41" t="s">
        <v>1337</v>
      </c>
      <c r="D261" s="42" t="s">
        <v>1378</v>
      </c>
      <c r="E261" s="41" t="s">
        <v>1379</v>
      </c>
      <c r="F261" s="41" t="s">
        <v>1380</v>
      </c>
      <c r="G261" s="41">
        <v>1987</v>
      </c>
      <c r="H261" s="41" t="s">
        <v>1381</v>
      </c>
      <c r="I261" s="41"/>
      <c r="J261" s="41"/>
      <c r="K261" s="41"/>
      <c r="L261" s="41"/>
      <c r="M261" s="18"/>
      <c r="N261" s="18"/>
      <c r="O261" s="18"/>
      <c r="P261" s="18"/>
      <c r="Q261" s="18"/>
      <c r="R261" s="18"/>
      <c r="S261" s="18"/>
      <c r="T261" s="18"/>
      <c r="U261" s="18"/>
      <c r="V261" s="18"/>
      <c r="W261" s="18"/>
      <c r="X261" s="18"/>
      <c r="Y261" s="18"/>
      <c r="Z261" s="18"/>
      <c r="AA261" s="18"/>
      <c r="AB261" s="18"/>
    </row>
    <row r="262" spans="1:28" ht="12.5" customHeight="1">
      <c r="A262" s="19">
        <v>261</v>
      </c>
      <c r="B262" s="41" t="s">
        <v>1382</v>
      </c>
      <c r="C262" s="41" t="s">
        <v>1337</v>
      </c>
      <c r="D262" s="42" t="s">
        <v>1383</v>
      </c>
      <c r="E262" s="41" t="s">
        <v>1384</v>
      </c>
      <c r="F262" s="41" t="s">
        <v>1385</v>
      </c>
      <c r="G262" s="41">
        <v>1989</v>
      </c>
      <c r="H262" s="41" t="s">
        <v>1386</v>
      </c>
      <c r="I262" s="41"/>
      <c r="J262" s="41"/>
      <c r="K262" s="41"/>
      <c r="L262" s="41"/>
      <c r="M262" s="18"/>
      <c r="N262" s="18"/>
      <c r="O262" s="18"/>
      <c r="P262" s="18"/>
      <c r="Q262" s="18"/>
      <c r="R262" s="18"/>
      <c r="S262" s="18"/>
      <c r="T262" s="18"/>
      <c r="U262" s="18"/>
      <c r="V262" s="18"/>
      <c r="W262" s="18"/>
      <c r="X262" s="18"/>
      <c r="Y262" s="18"/>
      <c r="Z262" s="18"/>
      <c r="AA262" s="18"/>
      <c r="AB262" s="18"/>
    </row>
    <row r="263" spans="1:28" ht="12.5" customHeight="1">
      <c r="A263" s="19">
        <v>262</v>
      </c>
      <c r="B263" s="41" t="s">
        <v>1387</v>
      </c>
      <c r="C263" s="41" t="s">
        <v>1337</v>
      </c>
      <c r="D263" s="42" t="s">
        <v>1388</v>
      </c>
      <c r="E263" s="41" t="s">
        <v>1389</v>
      </c>
      <c r="F263" s="41" t="s">
        <v>1390</v>
      </c>
      <c r="G263" s="41">
        <v>2005</v>
      </c>
      <c r="H263" s="41" t="s">
        <v>1368</v>
      </c>
      <c r="I263" s="41"/>
      <c r="J263" s="41"/>
      <c r="K263" s="41"/>
      <c r="L263" s="41"/>
      <c r="M263" s="18"/>
      <c r="N263" s="18"/>
      <c r="O263" s="18"/>
      <c r="P263" s="18"/>
      <c r="Q263" s="18"/>
      <c r="R263" s="18"/>
      <c r="S263" s="18"/>
      <c r="T263" s="18"/>
      <c r="U263" s="18"/>
      <c r="V263" s="18"/>
      <c r="W263" s="18"/>
      <c r="X263" s="18"/>
      <c r="Y263" s="18"/>
      <c r="Z263" s="18"/>
      <c r="AA263" s="18"/>
      <c r="AB263" s="18"/>
    </row>
    <row r="264" spans="1:28" ht="12.5" customHeight="1">
      <c r="A264" s="19">
        <v>263</v>
      </c>
      <c r="B264" s="41" t="s">
        <v>1391</v>
      </c>
      <c r="C264" s="41" t="s">
        <v>1337</v>
      </c>
      <c r="D264" s="42" t="s">
        <v>1392</v>
      </c>
      <c r="E264" s="41" t="s">
        <v>1393</v>
      </c>
      <c r="F264" s="41" t="s">
        <v>1394</v>
      </c>
      <c r="G264" s="41">
        <v>2018</v>
      </c>
      <c r="H264" s="41" t="s">
        <v>1131</v>
      </c>
      <c r="I264" s="41"/>
      <c r="J264" s="41"/>
      <c r="K264" s="41"/>
      <c r="L264" s="41"/>
      <c r="M264" s="18"/>
      <c r="N264" s="18"/>
      <c r="O264" s="18"/>
      <c r="P264" s="18"/>
      <c r="Q264" s="18"/>
      <c r="R264" s="18"/>
      <c r="S264" s="18"/>
      <c r="T264" s="18"/>
      <c r="U264" s="18"/>
      <c r="V264" s="18"/>
      <c r="W264" s="18"/>
      <c r="X264" s="18"/>
      <c r="Y264" s="18"/>
      <c r="Z264" s="18"/>
      <c r="AA264" s="18"/>
      <c r="AB264" s="18"/>
    </row>
    <row r="265" spans="1:28" ht="12.5" customHeight="1">
      <c r="A265" s="19">
        <v>264</v>
      </c>
      <c r="B265" s="41" t="s">
        <v>1395</v>
      </c>
      <c r="C265" s="41" t="s">
        <v>1337</v>
      </c>
      <c r="D265" s="42" t="s">
        <v>1396</v>
      </c>
      <c r="E265" s="41" t="s">
        <v>1397</v>
      </c>
      <c r="F265" s="41" t="s">
        <v>1398</v>
      </c>
      <c r="G265" s="41">
        <v>1992</v>
      </c>
      <c r="H265" s="41" t="s">
        <v>1131</v>
      </c>
      <c r="I265" s="41"/>
      <c r="J265" s="41"/>
      <c r="K265" s="41"/>
      <c r="L265" s="41"/>
      <c r="M265" s="18"/>
      <c r="N265" s="18"/>
      <c r="O265" s="18"/>
      <c r="P265" s="18"/>
      <c r="Q265" s="18"/>
      <c r="R265" s="18"/>
      <c r="S265" s="18"/>
      <c r="T265" s="18"/>
      <c r="U265" s="18"/>
      <c r="V265" s="18"/>
      <c r="W265" s="18"/>
      <c r="X265" s="18"/>
      <c r="Y265" s="18"/>
      <c r="Z265" s="18"/>
      <c r="AA265" s="18"/>
      <c r="AB265" s="18"/>
    </row>
    <row r="266" spans="1:28" ht="12.5" customHeight="1">
      <c r="A266" s="19">
        <v>265</v>
      </c>
      <c r="B266" s="41" t="s">
        <v>1399</v>
      </c>
      <c r="C266" s="41" t="s">
        <v>1337</v>
      </c>
      <c r="D266" s="42" t="s">
        <v>1400</v>
      </c>
      <c r="E266" s="41" t="s">
        <v>1401</v>
      </c>
      <c r="F266" s="41" t="s">
        <v>1402</v>
      </c>
      <c r="G266" s="41">
        <v>2007</v>
      </c>
      <c r="H266" s="41" t="s">
        <v>1403</v>
      </c>
      <c r="I266" s="41"/>
      <c r="J266" s="41"/>
      <c r="K266" s="41"/>
      <c r="L266" s="41"/>
      <c r="M266" s="18"/>
      <c r="N266" s="18"/>
      <c r="O266" s="18"/>
      <c r="P266" s="18"/>
      <c r="Q266" s="18"/>
      <c r="R266" s="18"/>
      <c r="S266" s="18"/>
      <c r="T266" s="18"/>
      <c r="U266" s="18"/>
      <c r="V266" s="18"/>
      <c r="W266" s="18"/>
      <c r="X266" s="18"/>
      <c r="Y266" s="18"/>
      <c r="Z266" s="18"/>
      <c r="AA266" s="18"/>
      <c r="AB266" s="18"/>
    </row>
    <row r="267" spans="1:28" ht="12.5" customHeight="1">
      <c r="A267" s="19">
        <v>266</v>
      </c>
      <c r="B267" s="41" t="s">
        <v>1404</v>
      </c>
      <c r="C267" s="41" t="s">
        <v>1337</v>
      </c>
      <c r="D267" s="42" t="s">
        <v>1405</v>
      </c>
      <c r="E267" s="41" t="s">
        <v>1406</v>
      </c>
      <c r="F267" s="41" t="s">
        <v>1407</v>
      </c>
      <c r="G267" s="41">
        <v>1969</v>
      </c>
      <c r="H267" s="41" t="s">
        <v>1408</v>
      </c>
      <c r="I267" s="41"/>
      <c r="J267" s="41"/>
      <c r="K267" s="41"/>
      <c r="L267" s="41"/>
      <c r="M267" s="18"/>
      <c r="N267" s="18"/>
      <c r="O267" s="18"/>
      <c r="P267" s="18"/>
      <c r="Q267" s="18"/>
      <c r="R267" s="18"/>
      <c r="S267" s="18"/>
      <c r="T267" s="18"/>
      <c r="U267" s="18"/>
      <c r="V267" s="18"/>
      <c r="W267" s="18"/>
      <c r="X267" s="18"/>
      <c r="Y267" s="18"/>
      <c r="Z267" s="18"/>
      <c r="AA267" s="18"/>
      <c r="AB267" s="18"/>
    </row>
    <row r="268" spans="1:28" ht="12.5" customHeight="1">
      <c r="A268" s="19">
        <v>267</v>
      </c>
      <c r="B268" s="41" t="s">
        <v>1409</v>
      </c>
      <c r="C268" s="41" t="s">
        <v>1337</v>
      </c>
      <c r="D268" s="42" t="s">
        <v>1410</v>
      </c>
      <c r="E268" s="41" t="s">
        <v>1411</v>
      </c>
      <c r="F268" s="41" t="s">
        <v>1412</v>
      </c>
      <c r="G268" s="41">
        <v>1992</v>
      </c>
      <c r="H268" s="41" t="s">
        <v>1413</v>
      </c>
      <c r="I268" s="41"/>
      <c r="J268" s="41"/>
      <c r="K268" s="41"/>
      <c r="L268" s="41"/>
      <c r="M268" s="18"/>
      <c r="N268" s="18"/>
      <c r="O268" s="18"/>
      <c r="P268" s="18"/>
      <c r="Q268" s="18"/>
      <c r="R268" s="18"/>
      <c r="S268" s="18"/>
      <c r="T268" s="18"/>
      <c r="U268" s="18"/>
      <c r="V268" s="18"/>
      <c r="W268" s="18"/>
      <c r="X268" s="18"/>
      <c r="Y268" s="18"/>
      <c r="Z268" s="18"/>
      <c r="AA268" s="18"/>
      <c r="AB268" s="18"/>
    </row>
    <row r="269" spans="1:28" ht="12.5" customHeight="1">
      <c r="A269" s="23">
        <v>268</v>
      </c>
      <c r="B269" s="23" t="s">
        <v>1414</v>
      </c>
      <c r="C269" s="23" t="s">
        <v>1337</v>
      </c>
      <c r="D269" s="23"/>
      <c r="E269" s="23" t="s">
        <v>1415</v>
      </c>
      <c r="F269" s="23" t="s">
        <v>467</v>
      </c>
      <c r="G269" s="23">
        <v>2001</v>
      </c>
      <c r="H269" s="23" t="s">
        <v>1416</v>
      </c>
      <c r="I269" s="23"/>
      <c r="J269" s="23"/>
      <c r="K269" s="23"/>
      <c r="L269" s="23"/>
      <c r="M269" s="23"/>
      <c r="N269" s="23"/>
      <c r="O269" s="23"/>
      <c r="P269" s="23"/>
      <c r="Q269" s="23"/>
      <c r="R269" s="23"/>
      <c r="S269" s="23"/>
      <c r="T269" s="23"/>
      <c r="U269" s="23"/>
      <c r="V269" s="23"/>
      <c r="W269" s="23"/>
      <c r="X269" s="23"/>
      <c r="Y269" s="23"/>
      <c r="Z269" s="23"/>
      <c r="AA269" s="23"/>
      <c r="AB269" s="23"/>
    </row>
    <row r="270" spans="1:28" ht="12.5" customHeight="1">
      <c r="A270" s="19">
        <v>269</v>
      </c>
      <c r="B270" s="41" t="s">
        <v>1417</v>
      </c>
      <c r="C270" s="41" t="s">
        <v>1337</v>
      </c>
      <c r="D270" s="42" t="s">
        <v>1418</v>
      </c>
      <c r="E270" s="41" t="s">
        <v>1419</v>
      </c>
      <c r="F270" s="41" t="s">
        <v>1420</v>
      </c>
      <c r="G270" s="41">
        <v>2019</v>
      </c>
      <c r="H270" s="41" t="s">
        <v>259</v>
      </c>
      <c r="I270" s="41"/>
      <c r="J270" s="41"/>
      <c r="K270" s="41"/>
      <c r="L270" s="41"/>
      <c r="M270" s="18"/>
      <c r="N270" s="18"/>
      <c r="O270" s="18"/>
      <c r="P270" s="18"/>
      <c r="Q270" s="18"/>
      <c r="R270" s="18"/>
      <c r="S270" s="18"/>
      <c r="T270" s="18"/>
      <c r="U270" s="18"/>
      <c r="V270" s="18"/>
      <c r="W270" s="18"/>
      <c r="X270" s="18"/>
      <c r="Y270" s="18"/>
      <c r="Z270" s="18"/>
      <c r="AA270" s="18"/>
      <c r="AB270" s="18"/>
    </row>
    <row r="271" spans="1:28" ht="12.5" customHeight="1">
      <c r="A271" s="19">
        <v>270</v>
      </c>
      <c r="B271" s="41" t="s">
        <v>1421</v>
      </c>
      <c r="C271" s="41" t="s">
        <v>1337</v>
      </c>
      <c r="D271" s="42" t="s">
        <v>1422</v>
      </c>
      <c r="E271" s="41" t="s">
        <v>1423</v>
      </c>
      <c r="F271" s="41" t="s">
        <v>1424</v>
      </c>
      <c r="G271" s="41">
        <v>1978</v>
      </c>
      <c r="H271" s="41" t="s">
        <v>1425</v>
      </c>
      <c r="I271" s="41"/>
      <c r="J271" s="41"/>
      <c r="K271" s="41"/>
      <c r="L271" s="41"/>
      <c r="M271" s="18"/>
      <c r="N271" s="18"/>
      <c r="O271" s="18"/>
      <c r="P271" s="18"/>
      <c r="Q271" s="18"/>
      <c r="R271" s="18"/>
      <c r="S271" s="18"/>
      <c r="T271" s="18"/>
      <c r="U271" s="18"/>
      <c r="V271" s="18"/>
      <c r="W271" s="18"/>
      <c r="X271" s="18"/>
      <c r="Y271" s="18"/>
      <c r="Z271" s="18"/>
      <c r="AA271" s="18"/>
      <c r="AB271" s="18"/>
    </row>
    <row r="272" spans="1:28" ht="12.5" customHeight="1">
      <c r="A272" s="23">
        <v>271</v>
      </c>
      <c r="B272" s="23" t="s">
        <v>1426</v>
      </c>
      <c r="C272" s="23" t="s">
        <v>1337</v>
      </c>
      <c r="D272" s="23"/>
      <c r="E272" s="23" t="s">
        <v>1427</v>
      </c>
      <c r="F272" s="23" t="s">
        <v>1424</v>
      </c>
      <c r="G272" s="23">
        <v>1989</v>
      </c>
      <c r="H272" s="23" t="s">
        <v>1428</v>
      </c>
      <c r="I272" s="23"/>
      <c r="J272" s="23"/>
      <c r="K272" s="23"/>
      <c r="L272" s="23"/>
      <c r="M272" s="23"/>
      <c r="N272" s="23"/>
      <c r="O272" s="23"/>
      <c r="P272" s="23"/>
      <c r="Q272" s="23"/>
      <c r="R272" s="23"/>
      <c r="S272" s="23"/>
      <c r="T272" s="23"/>
      <c r="U272" s="23"/>
      <c r="V272" s="23"/>
      <c r="W272" s="23"/>
      <c r="X272" s="23"/>
      <c r="Y272" s="23"/>
      <c r="Z272" s="23"/>
      <c r="AA272" s="23"/>
      <c r="AB272" s="23"/>
    </row>
    <row r="273" spans="1:28" ht="12.5" customHeight="1">
      <c r="A273" s="19">
        <v>272</v>
      </c>
      <c r="B273" s="41" t="s">
        <v>1429</v>
      </c>
      <c r="C273" s="41" t="s">
        <v>1337</v>
      </c>
      <c r="D273" s="42" t="s">
        <v>1430</v>
      </c>
      <c r="E273" s="41" t="s">
        <v>1431</v>
      </c>
      <c r="F273" s="41" t="s">
        <v>552</v>
      </c>
      <c r="G273" s="41">
        <v>2015</v>
      </c>
      <c r="H273" s="41" t="s">
        <v>1432</v>
      </c>
      <c r="I273" s="41"/>
      <c r="J273" s="41"/>
      <c r="K273" s="41"/>
      <c r="L273" s="41"/>
      <c r="M273" s="18"/>
      <c r="N273" s="18"/>
      <c r="O273" s="18"/>
      <c r="P273" s="18"/>
      <c r="Q273" s="18"/>
      <c r="R273" s="18"/>
      <c r="S273" s="18"/>
      <c r="T273" s="18"/>
      <c r="U273" s="18"/>
      <c r="V273" s="18"/>
      <c r="W273" s="18"/>
      <c r="X273" s="18"/>
      <c r="Y273" s="18"/>
      <c r="Z273" s="18"/>
      <c r="AA273" s="18"/>
      <c r="AB273" s="18"/>
    </row>
    <row r="274" spans="1:28" ht="12.5" customHeight="1">
      <c r="A274" s="19">
        <v>273</v>
      </c>
      <c r="B274" s="41" t="s">
        <v>1433</v>
      </c>
      <c r="C274" s="41" t="s">
        <v>1337</v>
      </c>
      <c r="D274" s="42" t="s">
        <v>1434</v>
      </c>
      <c r="E274" s="41" t="s">
        <v>1435</v>
      </c>
      <c r="F274" s="41" t="s">
        <v>1436</v>
      </c>
      <c r="G274" s="41">
        <v>1994</v>
      </c>
      <c r="H274" s="41" t="s">
        <v>1381</v>
      </c>
      <c r="I274" s="41"/>
      <c r="J274" s="41"/>
      <c r="K274" s="41"/>
      <c r="L274" s="41"/>
      <c r="M274" s="18"/>
      <c r="N274" s="18"/>
      <c r="O274" s="18"/>
      <c r="P274" s="18"/>
      <c r="Q274" s="18"/>
      <c r="R274" s="18"/>
      <c r="S274" s="18"/>
      <c r="T274" s="18"/>
      <c r="U274" s="18"/>
      <c r="V274" s="18"/>
      <c r="W274" s="18"/>
      <c r="X274" s="18"/>
      <c r="Y274" s="18"/>
      <c r="Z274" s="18"/>
      <c r="AA274" s="18"/>
      <c r="AB274" s="18"/>
    </row>
    <row r="275" spans="1:28" ht="12.5" customHeight="1">
      <c r="A275" s="19">
        <v>274</v>
      </c>
      <c r="B275" s="41" t="s">
        <v>1437</v>
      </c>
      <c r="C275" s="41" t="s">
        <v>1337</v>
      </c>
      <c r="D275" s="42" t="s">
        <v>1438</v>
      </c>
      <c r="E275" s="41" t="s">
        <v>1439</v>
      </c>
      <c r="F275" s="41" t="s">
        <v>1440</v>
      </c>
      <c r="G275" s="41">
        <v>2005</v>
      </c>
      <c r="H275" s="41" t="s">
        <v>1441</v>
      </c>
      <c r="I275" s="41"/>
      <c r="J275" s="41"/>
      <c r="K275" s="41"/>
      <c r="L275" s="41"/>
      <c r="M275" s="18"/>
      <c r="N275" s="18"/>
      <c r="O275" s="18"/>
      <c r="P275" s="18"/>
      <c r="Q275" s="18"/>
      <c r="R275" s="18"/>
      <c r="S275" s="18"/>
      <c r="T275" s="18"/>
      <c r="U275" s="18"/>
      <c r="V275" s="18"/>
      <c r="W275" s="18"/>
      <c r="X275" s="18"/>
      <c r="Y275" s="18"/>
      <c r="Z275" s="18"/>
      <c r="AA275" s="18"/>
      <c r="AB275" s="18"/>
    </row>
    <row r="276" spans="1:28" ht="12.5" customHeight="1">
      <c r="A276" s="23">
        <v>275</v>
      </c>
      <c r="B276" s="23" t="s">
        <v>1442</v>
      </c>
      <c r="C276" s="23" t="s">
        <v>1337</v>
      </c>
      <c r="D276" s="23"/>
      <c r="E276" s="23" t="s">
        <v>1443</v>
      </c>
      <c r="F276" s="23" t="s">
        <v>1444</v>
      </c>
      <c r="G276" s="23">
        <v>1997</v>
      </c>
      <c r="H276" s="23" t="s">
        <v>1445</v>
      </c>
      <c r="I276" s="23"/>
      <c r="J276" s="23"/>
      <c r="K276" s="23"/>
      <c r="L276" s="23"/>
      <c r="M276" s="23"/>
      <c r="N276" s="23"/>
      <c r="O276" s="23"/>
      <c r="P276" s="23"/>
      <c r="Q276" s="23"/>
      <c r="R276" s="23"/>
      <c r="S276" s="23"/>
      <c r="T276" s="23"/>
      <c r="U276" s="23"/>
      <c r="V276" s="23"/>
      <c r="W276" s="23"/>
      <c r="X276" s="23"/>
      <c r="Y276" s="23"/>
      <c r="Z276" s="23"/>
      <c r="AA276" s="23"/>
      <c r="AB276" s="23"/>
    </row>
    <row r="277" spans="1:28" ht="12.5" customHeight="1">
      <c r="A277" s="19">
        <v>276</v>
      </c>
      <c r="B277" s="41" t="s">
        <v>1446</v>
      </c>
      <c r="C277" s="41" t="s">
        <v>1337</v>
      </c>
      <c r="D277" s="42" t="s">
        <v>1447</v>
      </c>
      <c r="E277" s="41" t="s">
        <v>1448</v>
      </c>
      <c r="F277" s="41" t="s">
        <v>1449</v>
      </c>
      <c r="G277" s="41">
        <v>1997</v>
      </c>
      <c r="H277" s="41" t="s">
        <v>1413</v>
      </c>
      <c r="I277" s="41"/>
      <c r="J277" s="41"/>
      <c r="K277" s="41"/>
      <c r="L277" s="41"/>
      <c r="M277" s="18"/>
      <c r="N277" s="18"/>
      <c r="O277" s="18"/>
      <c r="P277" s="18"/>
      <c r="Q277" s="18"/>
      <c r="R277" s="18"/>
      <c r="S277" s="18"/>
      <c r="T277" s="18"/>
      <c r="U277" s="18"/>
      <c r="V277" s="18"/>
      <c r="W277" s="18"/>
      <c r="X277" s="18"/>
      <c r="Y277" s="18"/>
      <c r="Z277" s="18"/>
      <c r="AA277" s="18"/>
      <c r="AB277" s="18"/>
    </row>
    <row r="278" spans="1:28" ht="12.5" customHeight="1">
      <c r="A278" s="19">
        <v>277</v>
      </c>
      <c r="B278" s="41" t="s">
        <v>1450</v>
      </c>
      <c r="C278" s="41" t="s">
        <v>1337</v>
      </c>
      <c r="D278" s="42" t="s">
        <v>1451</v>
      </c>
      <c r="E278" s="41" t="s">
        <v>1452</v>
      </c>
      <c r="F278" s="41" t="s">
        <v>1453</v>
      </c>
      <c r="G278" s="41">
        <v>2005</v>
      </c>
      <c r="H278" s="41" t="s">
        <v>1358</v>
      </c>
      <c r="I278" s="41"/>
      <c r="J278" s="41"/>
      <c r="K278" s="41"/>
      <c r="L278" s="41"/>
      <c r="M278" s="18"/>
      <c r="N278" s="18"/>
      <c r="O278" s="18"/>
      <c r="P278" s="18"/>
      <c r="Q278" s="18"/>
      <c r="R278" s="18"/>
      <c r="S278" s="18"/>
      <c r="T278" s="18"/>
      <c r="U278" s="18"/>
      <c r="V278" s="18"/>
      <c r="W278" s="18"/>
      <c r="X278" s="18"/>
      <c r="Y278" s="18"/>
      <c r="Z278" s="18"/>
      <c r="AA278" s="18"/>
      <c r="AB278" s="18"/>
    </row>
    <row r="279" spans="1:28" ht="12.5" customHeight="1">
      <c r="A279" s="19">
        <v>278</v>
      </c>
      <c r="B279" s="41" t="s">
        <v>1454</v>
      </c>
      <c r="C279" s="41" t="s">
        <v>1337</v>
      </c>
      <c r="D279" s="42" t="s">
        <v>1455</v>
      </c>
      <c r="E279" s="41" t="s">
        <v>1456</v>
      </c>
      <c r="F279" s="41" t="s">
        <v>1457</v>
      </c>
      <c r="G279" s="41">
        <v>1983</v>
      </c>
      <c r="H279" s="41" t="s">
        <v>1413</v>
      </c>
      <c r="I279" s="41"/>
      <c r="J279" s="41"/>
      <c r="K279" s="41"/>
      <c r="L279" s="41"/>
      <c r="M279" s="18"/>
      <c r="N279" s="18"/>
      <c r="O279" s="18"/>
      <c r="P279" s="18"/>
      <c r="Q279" s="18"/>
      <c r="R279" s="18"/>
      <c r="S279" s="18"/>
      <c r="T279" s="18"/>
      <c r="U279" s="18"/>
      <c r="V279" s="18"/>
      <c r="W279" s="18"/>
      <c r="X279" s="18"/>
      <c r="Y279" s="18"/>
      <c r="Z279" s="18"/>
      <c r="AA279" s="18"/>
      <c r="AB279" s="18"/>
    </row>
    <row r="280" spans="1:28" ht="12.5" customHeight="1">
      <c r="A280" s="19">
        <v>279</v>
      </c>
      <c r="B280" s="41" t="s">
        <v>1458</v>
      </c>
      <c r="C280" s="41" t="s">
        <v>1337</v>
      </c>
      <c r="D280" s="42" t="s">
        <v>1459</v>
      </c>
      <c r="E280" s="41" t="s">
        <v>1460</v>
      </c>
      <c r="F280" s="41" t="s">
        <v>1461</v>
      </c>
      <c r="G280" s="41">
        <v>2019</v>
      </c>
      <c r="H280" s="41" t="s">
        <v>1462</v>
      </c>
      <c r="I280" s="41"/>
      <c r="J280" s="41"/>
      <c r="K280" s="41"/>
      <c r="L280" s="41"/>
      <c r="M280" s="18"/>
      <c r="N280" s="18"/>
      <c r="O280" s="18"/>
      <c r="P280" s="18"/>
      <c r="Q280" s="18"/>
      <c r="R280" s="18"/>
      <c r="S280" s="18"/>
      <c r="T280" s="18"/>
      <c r="U280" s="18"/>
      <c r="V280" s="18"/>
      <c r="W280" s="18"/>
      <c r="X280" s="18"/>
      <c r="Y280" s="18"/>
      <c r="Z280" s="18"/>
      <c r="AA280" s="18"/>
      <c r="AB280" s="18"/>
    </row>
    <row r="281" spans="1:28" ht="12.5" customHeight="1">
      <c r="A281" s="23">
        <v>280</v>
      </c>
      <c r="B281" s="23" t="s">
        <v>1463</v>
      </c>
      <c r="C281" s="23" t="s">
        <v>1337</v>
      </c>
      <c r="D281" s="23"/>
      <c r="E281" s="23" t="s">
        <v>1464</v>
      </c>
      <c r="F281" s="23" t="s">
        <v>1465</v>
      </c>
      <c r="G281" s="23">
        <v>1983</v>
      </c>
      <c r="H281" s="23" t="s">
        <v>1466</v>
      </c>
      <c r="I281" s="23"/>
      <c r="J281" s="23"/>
      <c r="K281" s="23"/>
      <c r="L281" s="23"/>
      <c r="M281" s="23"/>
      <c r="N281" s="23"/>
      <c r="O281" s="23"/>
      <c r="P281" s="23"/>
      <c r="Q281" s="23"/>
      <c r="R281" s="23"/>
      <c r="S281" s="23"/>
      <c r="T281" s="23"/>
      <c r="U281" s="23"/>
      <c r="V281" s="23"/>
      <c r="W281" s="23"/>
      <c r="X281" s="23"/>
      <c r="Y281" s="23"/>
      <c r="Z281" s="23"/>
      <c r="AA281" s="23"/>
      <c r="AB281" s="23"/>
    </row>
    <row r="282" spans="1:28" ht="12.5" customHeight="1">
      <c r="A282" s="19">
        <v>281</v>
      </c>
      <c r="B282" s="41" t="s">
        <v>1467</v>
      </c>
      <c r="C282" s="41" t="s">
        <v>1337</v>
      </c>
      <c r="D282" s="42" t="s">
        <v>1468</v>
      </c>
      <c r="E282" s="41" t="s">
        <v>1469</v>
      </c>
      <c r="F282" s="41" t="s">
        <v>1470</v>
      </c>
      <c r="G282" s="41">
        <v>1979</v>
      </c>
      <c r="H282" s="41" t="s">
        <v>1350</v>
      </c>
      <c r="I282" s="41"/>
      <c r="J282" s="41"/>
      <c r="K282" s="41"/>
      <c r="L282" s="41"/>
      <c r="M282" s="18"/>
      <c r="N282" s="18"/>
      <c r="O282" s="18"/>
      <c r="P282" s="18"/>
      <c r="Q282" s="18"/>
      <c r="R282" s="18"/>
      <c r="S282" s="18"/>
      <c r="T282" s="18"/>
      <c r="U282" s="18"/>
      <c r="V282" s="18"/>
      <c r="W282" s="18"/>
      <c r="X282" s="18"/>
      <c r="Y282" s="18"/>
      <c r="Z282" s="18"/>
      <c r="AA282" s="18"/>
      <c r="AB282" s="18"/>
    </row>
    <row r="283" spans="1:28" ht="12.5" customHeight="1">
      <c r="A283" s="19">
        <v>282</v>
      </c>
      <c r="B283" s="41" t="s">
        <v>1471</v>
      </c>
      <c r="C283" s="41" t="s">
        <v>1337</v>
      </c>
      <c r="D283" s="42" t="s">
        <v>1472</v>
      </c>
      <c r="E283" s="41" t="s">
        <v>1473</v>
      </c>
      <c r="F283" s="41" t="s">
        <v>1474</v>
      </c>
      <c r="G283" s="41">
        <v>2016</v>
      </c>
      <c r="H283" s="41" t="s">
        <v>1131</v>
      </c>
      <c r="I283" s="41"/>
      <c r="J283" s="41"/>
      <c r="K283" s="41"/>
      <c r="L283" s="41"/>
      <c r="M283" s="18"/>
      <c r="N283" s="18"/>
      <c r="O283" s="18"/>
      <c r="P283" s="18"/>
      <c r="Q283" s="18"/>
      <c r="R283" s="18"/>
      <c r="S283" s="18"/>
      <c r="T283" s="18"/>
      <c r="U283" s="18"/>
      <c r="V283" s="18"/>
      <c r="W283" s="18"/>
      <c r="X283" s="18"/>
      <c r="Y283" s="18"/>
      <c r="Z283" s="18"/>
      <c r="AA283" s="18"/>
      <c r="AB283" s="18"/>
    </row>
    <row r="284" spans="1:28" ht="12.5" customHeight="1">
      <c r="A284" s="19">
        <v>283</v>
      </c>
      <c r="B284" s="41" t="s">
        <v>1475</v>
      </c>
      <c r="C284" s="41" t="s">
        <v>1337</v>
      </c>
      <c r="D284" s="42" t="s">
        <v>1476</v>
      </c>
      <c r="E284" s="41" t="s">
        <v>1477</v>
      </c>
      <c r="F284" s="41" t="s">
        <v>1478</v>
      </c>
      <c r="G284" s="41">
        <v>2019</v>
      </c>
      <c r="H284" s="41" t="s">
        <v>259</v>
      </c>
      <c r="I284" s="41"/>
      <c r="J284" s="41"/>
      <c r="K284" s="41"/>
      <c r="L284" s="41"/>
      <c r="M284" s="18"/>
      <c r="N284" s="18"/>
      <c r="O284" s="18"/>
      <c r="P284" s="18"/>
      <c r="Q284" s="18"/>
      <c r="R284" s="18"/>
      <c r="S284" s="18"/>
      <c r="T284" s="18"/>
      <c r="U284" s="18"/>
      <c r="V284" s="18"/>
      <c r="W284" s="18"/>
      <c r="X284" s="18"/>
      <c r="Y284" s="18"/>
      <c r="Z284" s="18"/>
      <c r="AA284" s="18"/>
      <c r="AB284" s="18"/>
    </row>
    <row r="285" spans="1:28" ht="12.5" customHeight="1">
      <c r="A285" s="19">
        <v>284</v>
      </c>
      <c r="B285" s="41" t="s">
        <v>1479</v>
      </c>
      <c r="C285" s="41" t="s">
        <v>1337</v>
      </c>
      <c r="D285" s="42" t="s">
        <v>1480</v>
      </c>
      <c r="E285" s="41" t="s">
        <v>1481</v>
      </c>
      <c r="F285" s="41" t="s">
        <v>1482</v>
      </c>
      <c r="G285" s="41">
        <v>1987</v>
      </c>
      <c r="H285" s="41" t="s">
        <v>1483</v>
      </c>
      <c r="I285" s="41"/>
      <c r="J285" s="41"/>
      <c r="K285" s="41"/>
      <c r="L285" s="41"/>
      <c r="M285" s="18"/>
      <c r="N285" s="18"/>
      <c r="O285" s="18"/>
      <c r="P285" s="18"/>
      <c r="Q285" s="18"/>
      <c r="R285" s="18"/>
      <c r="S285" s="18"/>
      <c r="T285" s="18"/>
      <c r="U285" s="18"/>
      <c r="V285" s="18"/>
      <c r="W285" s="18"/>
      <c r="X285" s="18"/>
      <c r="Y285" s="18"/>
      <c r="Z285" s="18"/>
      <c r="AA285" s="18"/>
      <c r="AB285" s="18"/>
    </row>
    <row r="286" spans="1:28" ht="12.5" customHeight="1">
      <c r="A286" s="19">
        <v>285</v>
      </c>
      <c r="B286" s="43" t="s">
        <v>1484</v>
      </c>
      <c r="C286" s="43" t="s">
        <v>1485</v>
      </c>
      <c r="D286" s="44" t="s">
        <v>1486</v>
      </c>
      <c r="E286" s="43" t="s">
        <v>1487</v>
      </c>
      <c r="F286" s="43" t="s">
        <v>1488</v>
      </c>
      <c r="G286" s="43">
        <v>2017</v>
      </c>
      <c r="H286" s="43" t="s">
        <v>1489</v>
      </c>
      <c r="I286" s="43" t="str">
        <f t="shared" ref="I286:I478" si="2">IF(G286="","",
  IF(G286&lt;=PERCENTILE(IF($C:$C=C286,$G:$G),0.33),"Early",
    IF(G286&lt;=PERCENTILE(IF($C:$C=C286,$G:$G),0.67),"Middle","Recent")))</f>
        <v>Middle</v>
      </c>
      <c r="J286" s="43" t="str">
        <f t="shared" ref="J286:J478" si="3">IF(D286&lt;&gt;"","Yes","No")</f>
        <v>Yes</v>
      </c>
      <c r="K286" s="43"/>
      <c r="L286" s="43"/>
      <c r="M286" s="18"/>
      <c r="N286" s="18"/>
      <c r="O286" s="18"/>
      <c r="P286" s="18"/>
      <c r="Q286" s="18"/>
      <c r="R286" s="18"/>
      <c r="S286" s="18"/>
      <c r="T286" s="18"/>
      <c r="U286" s="18"/>
      <c r="V286" s="18"/>
      <c r="W286" s="18"/>
      <c r="X286" s="18"/>
      <c r="Y286" s="18"/>
      <c r="Z286" s="18"/>
      <c r="AA286" s="18"/>
      <c r="AB286" s="18"/>
    </row>
    <row r="287" spans="1:28" ht="12.5" customHeight="1">
      <c r="A287" s="23">
        <v>286</v>
      </c>
      <c r="B287" s="23" t="s">
        <v>1490</v>
      </c>
      <c r="C287" s="23" t="s">
        <v>1485</v>
      </c>
      <c r="D287" s="23"/>
      <c r="E287" s="23" t="s">
        <v>1491</v>
      </c>
      <c r="F287" s="23" t="s">
        <v>1492</v>
      </c>
      <c r="G287" s="23">
        <v>2019</v>
      </c>
      <c r="H287" s="23" t="s">
        <v>1493</v>
      </c>
      <c r="I287" s="23" t="str">
        <f t="shared" si="2"/>
        <v>Recent</v>
      </c>
      <c r="J287" s="23" t="str">
        <f t="shared" si="3"/>
        <v>No</v>
      </c>
      <c r="K287" s="23"/>
      <c r="L287" s="23"/>
      <c r="M287" s="23"/>
      <c r="N287" s="23"/>
      <c r="O287" s="23"/>
      <c r="P287" s="23"/>
      <c r="Q287" s="23"/>
      <c r="R287" s="23"/>
      <c r="S287" s="23"/>
      <c r="T287" s="23"/>
      <c r="U287" s="23"/>
      <c r="V287" s="23"/>
      <c r="W287" s="23"/>
      <c r="X287" s="23"/>
      <c r="Y287" s="23"/>
      <c r="Z287" s="23"/>
      <c r="AA287" s="23"/>
      <c r="AB287" s="23"/>
    </row>
    <row r="288" spans="1:28" ht="12.5" customHeight="1">
      <c r="A288" s="19">
        <v>287</v>
      </c>
      <c r="B288" s="43" t="s">
        <v>1494</v>
      </c>
      <c r="C288" s="43" t="s">
        <v>1485</v>
      </c>
      <c r="D288" s="44" t="s">
        <v>1495</v>
      </c>
      <c r="E288" s="43" t="s">
        <v>1496</v>
      </c>
      <c r="F288" s="43" t="s">
        <v>326</v>
      </c>
      <c r="G288" s="43">
        <v>2016</v>
      </c>
      <c r="H288" s="43" t="s">
        <v>1497</v>
      </c>
      <c r="I288" s="43" t="str">
        <f t="shared" si="2"/>
        <v>Middle</v>
      </c>
      <c r="J288" s="43" t="str">
        <f t="shared" si="3"/>
        <v>Yes</v>
      </c>
      <c r="K288" s="43"/>
      <c r="L288" s="43"/>
      <c r="M288" s="18"/>
      <c r="N288" s="18"/>
      <c r="O288" s="18"/>
      <c r="P288" s="18"/>
      <c r="Q288" s="18"/>
      <c r="R288" s="18"/>
      <c r="S288" s="18"/>
      <c r="T288" s="18"/>
      <c r="U288" s="18"/>
      <c r="V288" s="18"/>
      <c r="W288" s="18"/>
      <c r="X288" s="18"/>
      <c r="Y288" s="18"/>
      <c r="Z288" s="18"/>
      <c r="AA288" s="18"/>
      <c r="AB288" s="18"/>
    </row>
    <row r="289" spans="1:28" ht="12.5" customHeight="1">
      <c r="A289" s="19">
        <v>288</v>
      </c>
      <c r="B289" s="43" t="s">
        <v>1498</v>
      </c>
      <c r="C289" s="43" t="s">
        <v>1485</v>
      </c>
      <c r="D289" s="44" t="s">
        <v>1499</v>
      </c>
      <c r="E289" s="43" t="s">
        <v>1500</v>
      </c>
      <c r="F289" s="43" t="s">
        <v>1501</v>
      </c>
      <c r="G289" s="43">
        <v>2018</v>
      </c>
      <c r="H289" s="43" t="s">
        <v>1502</v>
      </c>
      <c r="I289" s="43" t="str">
        <f t="shared" si="2"/>
        <v>Recent</v>
      </c>
      <c r="J289" s="43" t="str">
        <f t="shared" si="3"/>
        <v>Yes</v>
      </c>
      <c r="K289" s="43"/>
      <c r="L289" s="43"/>
      <c r="M289" s="18"/>
      <c r="N289" s="18"/>
      <c r="O289" s="18"/>
      <c r="P289" s="18"/>
      <c r="Q289" s="18"/>
      <c r="R289" s="18"/>
      <c r="S289" s="18"/>
      <c r="T289" s="18"/>
      <c r="U289" s="18"/>
      <c r="V289" s="18"/>
      <c r="W289" s="18"/>
      <c r="X289" s="18"/>
      <c r="Y289" s="18"/>
      <c r="Z289" s="18"/>
      <c r="AA289" s="18"/>
      <c r="AB289" s="18"/>
    </row>
    <row r="290" spans="1:28" ht="12.5" customHeight="1">
      <c r="A290" s="19">
        <v>289</v>
      </c>
      <c r="B290" s="43" t="s">
        <v>1503</v>
      </c>
      <c r="C290" s="43" t="s">
        <v>1485</v>
      </c>
      <c r="D290" s="44" t="s">
        <v>1504</v>
      </c>
      <c r="E290" s="43" t="s">
        <v>1505</v>
      </c>
      <c r="F290" s="43" t="s">
        <v>1506</v>
      </c>
      <c r="G290" s="43">
        <v>2019</v>
      </c>
      <c r="H290" s="43" t="s">
        <v>1507</v>
      </c>
      <c r="I290" s="43" t="str">
        <f t="shared" si="2"/>
        <v>Recent</v>
      </c>
      <c r="J290" s="43" t="str">
        <f t="shared" si="3"/>
        <v>Yes</v>
      </c>
      <c r="K290" s="43"/>
      <c r="L290" s="43"/>
      <c r="M290" s="18"/>
      <c r="N290" s="18"/>
      <c r="O290" s="18"/>
      <c r="P290" s="18"/>
      <c r="Q290" s="18"/>
      <c r="R290" s="18"/>
      <c r="S290" s="18"/>
      <c r="T290" s="18"/>
      <c r="U290" s="18"/>
      <c r="V290" s="18"/>
      <c r="W290" s="18"/>
      <c r="X290" s="18"/>
      <c r="Y290" s="18"/>
      <c r="Z290" s="18"/>
      <c r="AA290" s="18"/>
      <c r="AB290" s="18"/>
    </row>
    <row r="291" spans="1:28" ht="12.5" customHeight="1">
      <c r="A291" s="19">
        <v>290</v>
      </c>
      <c r="B291" s="43" t="s">
        <v>1508</v>
      </c>
      <c r="C291" s="43" t="s">
        <v>1485</v>
      </c>
      <c r="D291" s="44" t="s">
        <v>1509</v>
      </c>
      <c r="E291" s="43" t="s">
        <v>1510</v>
      </c>
      <c r="F291" s="43" t="s">
        <v>1511</v>
      </c>
      <c r="G291" s="43">
        <v>2019</v>
      </c>
      <c r="H291" s="43" t="s">
        <v>1512</v>
      </c>
      <c r="I291" s="43" t="str">
        <f t="shared" si="2"/>
        <v>Recent</v>
      </c>
      <c r="J291" s="43" t="str">
        <f t="shared" si="3"/>
        <v>Yes</v>
      </c>
      <c r="K291" s="43"/>
      <c r="L291" s="43"/>
      <c r="M291" s="18"/>
      <c r="N291" s="18"/>
      <c r="O291" s="18"/>
      <c r="P291" s="18"/>
      <c r="Q291" s="18"/>
      <c r="R291" s="18"/>
      <c r="S291" s="18"/>
      <c r="T291" s="18"/>
      <c r="U291" s="18"/>
      <c r="V291" s="18"/>
      <c r="W291" s="18"/>
      <c r="X291" s="18"/>
      <c r="Y291" s="18"/>
      <c r="Z291" s="18"/>
      <c r="AA291" s="18"/>
      <c r="AB291" s="18"/>
    </row>
    <row r="292" spans="1:28" ht="12.5" customHeight="1">
      <c r="A292" s="19">
        <v>291</v>
      </c>
      <c r="B292" s="43" t="s">
        <v>1513</v>
      </c>
      <c r="C292" s="43" t="s">
        <v>1485</v>
      </c>
      <c r="D292" s="44" t="s">
        <v>1514</v>
      </c>
      <c r="E292" s="43" t="s">
        <v>1515</v>
      </c>
      <c r="F292" s="43" t="s">
        <v>1516</v>
      </c>
      <c r="G292" s="43">
        <v>2020</v>
      </c>
      <c r="H292" s="43" t="s">
        <v>1517</v>
      </c>
      <c r="I292" s="43" t="str">
        <f t="shared" si="2"/>
        <v>Recent</v>
      </c>
      <c r="J292" s="43" t="str">
        <f t="shared" si="3"/>
        <v>Yes</v>
      </c>
      <c r="K292" s="43"/>
      <c r="L292" s="43"/>
      <c r="M292" s="18"/>
      <c r="N292" s="18"/>
      <c r="O292" s="18"/>
      <c r="P292" s="18"/>
      <c r="Q292" s="18"/>
      <c r="R292" s="18"/>
      <c r="S292" s="18"/>
      <c r="T292" s="18"/>
      <c r="U292" s="18"/>
      <c r="V292" s="18"/>
      <c r="W292" s="18"/>
      <c r="X292" s="18"/>
      <c r="Y292" s="18"/>
      <c r="Z292" s="18"/>
      <c r="AA292" s="18"/>
      <c r="AB292" s="18"/>
    </row>
    <row r="293" spans="1:28" ht="12.5" customHeight="1">
      <c r="A293" s="19">
        <v>292</v>
      </c>
      <c r="B293" s="43" t="s">
        <v>1518</v>
      </c>
      <c r="C293" s="43" t="s">
        <v>1485</v>
      </c>
      <c r="D293" s="44" t="s">
        <v>1519</v>
      </c>
      <c r="E293" s="43" t="s">
        <v>1520</v>
      </c>
      <c r="F293" s="43" t="s">
        <v>1521</v>
      </c>
      <c r="G293" s="43">
        <v>2016</v>
      </c>
      <c r="H293" s="43" t="s">
        <v>1522</v>
      </c>
      <c r="I293" s="43" t="str">
        <f t="shared" si="2"/>
        <v>Middle</v>
      </c>
      <c r="J293" s="43" t="str">
        <f t="shared" si="3"/>
        <v>Yes</v>
      </c>
      <c r="K293" s="43"/>
      <c r="L293" s="43"/>
      <c r="M293" s="18"/>
      <c r="N293" s="18"/>
      <c r="O293" s="18"/>
      <c r="P293" s="18"/>
      <c r="Q293" s="18"/>
      <c r="R293" s="18"/>
      <c r="S293" s="18"/>
      <c r="T293" s="18"/>
      <c r="U293" s="18"/>
      <c r="V293" s="18"/>
      <c r="W293" s="18"/>
      <c r="X293" s="18"/>
      <c r="Y293" s="18"/>
      <c r="Z293" s="18"/>
      <c r="AA293" s="18"/>
      <c r="AB293" s="18"/>
    </row>
    <row r="294" spans="1:28" ht="12.5" customHeight="1">
      <c r="A294" s="19">
        <v>293</v>
      </c>
      <c r="B294" s="43" t="s">
        <v>1523</v>
      </c>
      <c r="C294" s="43" t="s">
        <v>1485</v>
      </c>
      <c r="D294" s="44" t="s">
        <v>1524</v>
      </c>
      <c r="E294" s="43" t="s">
        <v>1525</v>
      </c>
      <c r="F294" s="43" t="s">
        <v>1526</v>
      </c>
      <c r="G294" s="43">
        <v>2016</v>
      </c>
      <c r="H294" s="43" t="s">
        <v>1489</v>
      </c>
      <c r="I294" s="43" t="str">
        <f t="shared" si="2"/>
        <v>Middle</v>
      </c>
      <c r="J294" s="43" t="str">
        <f t="shared" si="3"/>
        <v>Yes</v>
      </c>
      <c r="K294" s="43"/>
      <c r="L294" s="43"/>
      <c r="M294" s="18"/>
      <c r="N294" s="18"/>
      <c r="O294" s="18"/>
      <c r="P294" s="18"/>
      <c r="Q294" s="18"/>
      <c r="R294" s="18"/>
      <c r="S294" s="18"/>
      <c r="T294" s="18"/>
      <c r="U294" s="18"/>
      <c r="V294" s="18"/>
      <c r="W294" s="18"/>
      <c r="X294" s="18"/>
      <c r="Y294" s="18"/>
      <c r="Z294" s="18"/>
      <c r="AA294" s="18"/>
      <c r="AB294" s="18"/>
    </row>
    <row r="295" spans="1:28" ht="12.5" customHeight="1">
      <c r="A295" s="19">
        <v>294</v>
      </c>
      <c r="B295" s="43" t="s">
        <v>1527</v>
      </c>
      <c r="C295" s="43" t="s">
        <v>1485</v>
      </c>
      <c r="D295" s="44" t="s">
        <v>1528</v>
      </c>
      <c r="E295" s="43" t="s">
        <v>1529</v>
      </c>
      <c r="F295" s="43" t="s">
        <v>1530</v>
      </c>
      <c r="G295" s="43">
        <v>2020</v>
      </c>
      <c r="H295" s="43" t="s">
        <v>1531</v>
      </c>
      <c r="I295" s="43" t="str">
        <f t="shared" si="2"/>
        <v>Recent</v>
      </c>
      <c r="J295" s="43" t="str">
        <f t="shared" si="3"/>
        <v>Yes</v>
      </c>
      <c r="K295" s="43"/>
      <c r="L295" s="43"/>
      <c r="M295" s="18"/>
      <c r="N295" s="18"/>
      <c r="O295" s="18"/>
      <c r="P295" s="18"/>
      <c r="Q295" s="18"/>
      <c r="R295" s="18"/>
      <c r="S295" s="18"/>
      <c r="T295" s="18"/>
      <c r="U295" s="18"/>
      <c r="V295" s="18"/>
      <c r="W295" s="18"/>
      <c r="X295" s="18"/>
      <c r="Y295" s="18"/>
      <c r="Z295" s="18"/>
      <c r="AA295" s="18"/>
      <c r="AB295" s="18"/>
    </row>
    <row r="296" spans="1:28" ht="12.5" customHeight="1">
      <c r="A296" s="19">
        <v>295</v>
      </c>
      <c r="B296" s="43" t="s">
        <v>1532</v>
      </c>
      <c r="C296" s="43" t="s">
        <v>1485</v>
      </c>
      <c r="D296" s="44" t="s">
        <v>1533</v>
      </c>
      <c r="E296" s="43" t="s">
        <v>1534</v>
      </c>
      <c r="F296" s="43" t="s">
        <v>1535</v>
      </c>
      <c r="G296" s="43">
        <v>2016</v>
      </c>
      <c r="H296" s="43" t="s">
        <v>1536</v>
      </c>
      <c r="I296" s="43" t="str">
        <f t="shared" si="2"/>
        <v>Middle</v>
      </c>
      <c r="J296" s="43" t="str">
        <f t="shared" si="3"/>
        <v>Yes</v>
      </c>
      <c r="K296" s="43"/>
      <c r="L296" s="43"/>
      <c r="M296" s="18"/>
      <c r="N296" s="18"/>
      <c r="O296" s="18"/>
      <c r="P296" s="18"/>
      <c r="Q296" s="18"/>
      <c r="R296" s="18"/>
      <c r="S296" s="18"/>
      <c r="T296" s="18"/>
      <c r="U296" s="18"/>
      <c r="V296" s="18"/>
      <c r="W296" s="18"/>
      <c r="X296" s="18"/>
      <c r="Y296" s="18"/>
      <c r="Z296" s="18"/>
      <c r="AA296" s="18"/>
      <c r="AB296" s="18"/>
    </row>
    <row r="297" spans="1:28" ht="12.5" customHeight="1">
      <c r="A297" s="23">
        <v>296</v>
      </c>
      <c r="B297" s="23" t="s">
        <v>1537</v>
      </c>
      <c r="C297" s="23" t="s">
        <v>1485</v>
      </c>
      <c r="D297" s="23"/>
      <c r="E297" s="23" t="s">
        <v>1538</v>
      </c>
      <c r="F297" s="23" t="s">
        <v>1539</v>
      </c>
      <c r="G297" s="23">
        <v>2015</v>
      </c>
      <c r="H297" s="23" t="s">
        <v>1540</v>
      </c>
      <c r="I297" s="23" t="str">
        <f t="shared" si="2"/>
        <v>Middle</v>
      </c>
      <c r="J297" s="23" t="str">
        <f t="shared" si="3"/>
        <v>No</v>
      </c>
      <c r="K297" s="23"/>
      <c r="L297" s="23"/>
      <c r="M297" s="23"/>
      <c r="N297" s="23"/>
      <c r="O297" s="23"/>
      <c r="P297" s="23"/>
      <c r="Q297" s="23"/>
      <c r="R297" s="23"/>
      <c r="S297" s="23"/>
      <c r="T297" s="23"/>
      <c r="U297" s="23"/>
      <c r="V297" s="23"/>
      <c r="W297" s="23"/>
      <c r="X297" s="23"/>
      <c r="Y297" s="23"/>
      <c r="Z297" s="23"/>
      <c r="AA297" s="23"/>
      <c r="AB297" s="23"/>
    </row>
    <row r="298" spans="1:28" ht="12.5" customHeight="1">
      <c r="A298" s="19">
        <v>297</v>
      </c>
      <c r="B298" s="43" t="s">
        <v>1541</v>
      </c>
      <c r="C298" s="43" t="s">
        <v>1485</v>
      </c>
      <c r="D298" s="44" t="s">
        <v>1542</v>
      </c>
      <c r="E298" s="43" t="s">
        <v>1543</v>
      </c>
      <c r="F298" s="43" t="s">
        <v>1544</v>
      </c>
      <c r="G298" s="43">
        <v>2019</v>
      </c>
      <c r="H298" s="43" t="s">
        <v>1545</v>
      </c>
      <c r="I298" s="43" t="str">
        <f t="shared" si="2"/>
        <v>Recent</v>
      </c>
      <c r="J298" s="43" t="str">
        <f t="shared" si="3"/>
        <v>Yes</v>
      </c>
      <c r="K298" s="43"/>
      <c r="L298" s="43"/>
      <c r="M298" s="18"/>
      <c r="N298" s="18"/>
      <c r="O298" s="18"/>
      <c r="P298" s="18"/>
      <c r="Q298" s="18"/>
      <c r="R298" s="18"/>
      <c r="S298" s="18"/>
      <c r="T298" s="18"/>
      <c r="U298" s="18"/>
      <c r="V298" s="18"/>
      <c r="W298" s="18"/>
      <c r="X298" s="18"/>
      <c r="Y298" s="18"/>
      <c r="Z298" s="18"/>
      <c r="AA298" s="18"/>
      <c r="AB298" s="18"/>
    </row>
    <row r="299" spans="1:28" ht="12.5" customHeight="1">
      <c r="A299" s="19">
        <v>298</v>
      </c>
      <c r="B299" s="43" t="s">
        <v>1546</v>
      </c>
      <c r="C299" s="43" t="s">
        <v>1485</v>
      </c>
      <c r="D299" s="44" t="s">
        <v>1547</v>
      </c>
      <c r="E299" s="43" t="s">
        <v>1548</v>
      </c>
      <c r="F299" s="43" t="s">
        <v>1549</v>
      </c>
      <c r="G299" s="43">
        <v>2016</v>
      </c>
      <c r="H299" s="43" t="s">
        <v>1550</v>
      </c>
      <c r="I299" s="43" t="str">
        <f t="shared" si="2"/>
        <v>Middle</v>
      </c>
      <c r="J299" s="43" t="str">
        <f t="shared" si="3"/>
        <v>Yes</v>
      </c>
      <c r="K299" s="43"/>
      <c r="L299" s="43"/>
      <c r="M299" s="18"/>
      <c r="N299" s="18"/>
      <c r="O299" s="18"/>
      <c r="P299" s="18"/>
      <c r="Q299" s="18"/>
      <c r="R299" s="18"/>
      <c r="S299" s="18"/>
      <c r="T299" s="18"/>
      <c r="U299" s="18"/>
      <c r="V299" s="18"/>
      <c r="W299" s="18"/>
      <c r="X299" s="18"/>
      <c r="Y299" s="18"/>
      <c r="Z299" s="18"/>
      <c r="AA299" s="18"/>
      <c r="AB299" s="18"/>
    </row>
    <row r="300" spans="1:28" ht="12.5" customHeight="1">
      <c r="A300" s="19">
        <v>299</v>
      </c>
      <c r="B300" s="43" t="s">
        <v>1551</v>
      </c>
      <c r="C300" s="43" t="s">
        <v>1485</v>
      </c>
      <c r="D300" s="44" t="s">
        <v>1552</v>
      </c>
      <c r="E300" s="43" t="s">
        <v>1553</v>
      </c>
      <c r="F300" s="43" t="s">
        <v>1554</v>
      </c>
      <c r="G300" s="43">
        <v>2020</v>
      </c>
      <c r="H300" s="43" t="s">
        <v>641</v>
      </c>
      <c r="I300" s="43" t="str">
        <f t="shared" si="2"/>
        <v>Recent</v>
      </c>
      <c r="J300" s="43" t="str">
        <f t="shared" si="3"/>
        <v>Yes</v>
      </c>
      <c r="K300" s="43"/>
      <c r="L300" s="43"/>
      <c r="M300" s="18"/>
      <c r="N300" s="18"/>
      <c r="O300" s="18"/>
      <c r="P300" s="18"/>
      <c r="Q300" s="18"/>
      <c r="R300" s="18"/>
      <c r="S300" s="18"/>
      <c r="T300" s="18"/>
      <c r="U300" s="18"/>
      <c r="V300" s="18"/>
      <c r="W300" s="18"/>
      <c r="X300" s="18"/>
      <c r="Y300" s="18"/>
      <c r="Z300" s="18"/>
      <c r="AA300" s="18"/>
      <c r="AB300" s="18"/>
    </row>
    <row r="301" spans="1:28" ht="12.5" customHeight="1">
      <c r="A301" s="23">
        <v>300</v>
      </c>
      <c r="B301" s="23" t="s">
        <v>1555</v>
      </c>
      <c r="C301" s="23" t="s">
        <v>1485</v>
      </c>
      <c r="D301" s="23"/>
      <c r="E301" s="23" t="s">
        <v>1556</v>
      </c>
      <c r="F301" s="23" t="s">
        <v>1557</v>
      </c>
      <c r="G301" s="23">
        <v>2016</v>
      </c>
      <c r="H301" s="23" t="s">
        <v>1558</v>
      </c>
      <c r="I301" s="23" t="str">
        <f t="shared" si="2"/>
        <v>Middle</v>
      </c>
      <c r="J301" s="23" t="str">
        <f t="shared" si="3"/>
        <v>No</v>
      </c>
      <c r="K301" s="23"/>
      <c r="L301" s="23"/>
      <c r="M301" s="23"/>
      <c r="N301" s="23"/>
      <c r="O301" s="23"/>
      <c r="P301" s="23"/>
      <c r="Q301" s="23"/>
      <c r="R301" s="23"/>
      <c r="S301" s="23"/>
      <c r="T301" s="23"/>
      <c r="U301" s="23"/>
      <c r="V301" s="23"/>
      <c r="W301" s="23"/>
      <c r="X301" s="23"/>
      <c r="Y301" s="23"/>
      <c r="Z301" s="23"/>
      <c r="AA301" s="23"/>
      <c r="AB301" s="23"/>
    </row>
    <row r="302" spans="1:28" ht="12.5" customHeight="1">
      <c r="A302" s="19">
        <v>301</v>
      </c>
      <c r="B302" s="43" t="s">
        <v>1559</v>
      </c>
      <c r="C302" s="43" t="s">
        <v>1485</v>
      </c>
      <c r="D302" s="44" t="s">
        <v>1560</v>
      </c>
      <c r="E302" s="43" t="s">
        <v>1561</v>
      </c>
      <c r="F302" s="43" t="s">
        <v>1562</v>
      </c>
      <c r="G302" s="43">
        <v>2017</v>
      </c>
      <c r="H302" s="43" t="s">
        <v>1563</v>
      </c>
      <c r="I302" s="43" t="str">
        <f t="shared" si="2"/>
        <v>Middle</v>
      </c>
      <c r="J302" s="43" t="str">
        <f t="shared" si="3"/>
        <v>Yes</v>
      </c>
      <c r="K302" s="43"/>
      <c r="L302" s="43"/>
      <c r="M302" s="18"/>
      <c r="N302" s="18"/>
      <c r="O302" s="18"/>
      <c r="P302" s="18"/>
      <c r="Q302" s="18"/>
      <c r="R302" s="18"/>
      <c r="S302" s="18"/>
      <c r="T302" s="18"/>
      <c r="U302" s="18"/>
      <c r="V302" s="18"/>
      <c r="W302" s="18"/>
      <c r="X302" s="18"/>
      <c r="Y302" s="18"/>
      <c r="Z302" s="18"/>
      <c r="AA302" s="18"/>
      <c r="AB302" s="18"/>
    </row>
    <row r="303" spans="1:28" ht="12.5" customHeight="1">
      <c r="A303" s="19">
        <v>302</v>
      </c>
      <c r="B303" s="43" t="s">
        <v>1564</v>
      </c>
      <c r="C303" s="43" t="s">
        <v>1485</v>
      </c>
      <c r="D303" s="44" t="s">
        <v>1565</v>
      </c>
      <c r="E303" s="43" t="s">
        <v>1566</v>
      </c>
      <c r="F303" s="43" t="s">
        <v>1567</v>
      </c>
      <c r="G303" s="43">
        <v>2021</v>
      </c>
      <c r="H303" s="43" t="s">
        <v>1568</v>
      </c>
      <c r="I303" s="43" t="str">
        <f t="shared" si="2"/>
        <v>Recent</v>
      </c>
      <c r="J303" s="43" t="str">
        <f t="shared" si="3"/>
        <v>Yes</v>
      </c>
      <c r="K303" s="43"/>
      <c r="L303" s="43"/>
      <c r="M303" s="18"/>
      <c r="N303" s="18"/>
      <c r="O303" s="18"/>
      <c r="P303" s="18"/>
      <c r="Q303" s="18"/>
      <c r="R303" s="18"/>
      <c r="S303" s="18"/>
      <c r="T303" s="18"/>
      <c r="U303" s="18"/>
      <c r="V303" s="18"/>
      <c r="W303" s="18"/>
      <c r="X303" s="18"/>
      <c r="Y303" s="18"/>
      <c r="Z303" s="18"/>
      <c r="AA303" s="18"/>
      <c r="AB303" s="18"/>
    </row>
    <row r="304" spans="1:28" ht="14" customHeight="1">
      <c r="A304" s="19">
        <v>303</v>
      </c>
      <c r="B304" s="43" t="s">
        <v>1569</v>
      </c>
      <c r="C304" s="43" t="s">
        <v>1485</v>
      </c>
      <c r="D304" s="45" t="s">
        <v>1570</v>
      </c>
      <c r="E304" s="43" t="s">
        <v>1571</v>
      </c>
      <c r="F304" s="43" t="s">
        <v>1572</v>
      </c>
      <c r="G304" s="43">
        <v>2015</v>
      </c>
      <c r="H304" s="43" t="s">
        <v>1573</v>
      </c>
      <c r="I304" s="43" t="str">
        <f t="shared" si="2"/>
        <v>Middle</v>
      </c>
      <c r="J304" s="43" t="str">
        <f t="shared" si="3"/>
        <v>Yes</v>
      </c>
      <c r="K304" s="43"/>
      <c r="L304" s="43"/>
      <c r="M304" s="18"/>
      <c r="N304" s="18"/>
      <c r="O304" s="18"/>
      <c r="P304" s="18"/>
      <c r="Q304" s="18"/>
      <c r="R304" s="18"/>
      <c r="S304" s="18"/>
      <c r="T304" s="18"/>
      <c r="U304" s="18"/>
      <c r="V304" s="18"/>
      <c r="W304" s="18"/>
      <c r="X304" s="18"/>
      <c r="Y304" s="18"/>
      <c r="Z304" s="18"/>
      <c r="AA304" s="18"/>
      <c r="AB304" s="18"/>
    </row>
    <row r="305" spans="1:28" ht="12.5" customHeight="1">
      <c r="A305" s="19">
        <v>304</v>
      </c>
      <c r="B305" s="43" t="s">
        <v>1574</v>
      </c>
      <c r="C305" s="43" t="s">
        <v>1485</v>
      </c>
      <c r="D305" s="44" t="s">
        <v>1575</v>
      </c>
      <c r="E305" s="43" t="s">
        <v>1576</v>
      </c>
      <c r="F305" s="43" t="s">
        <v>1577</v>
      </c>
      <c r="G305" s="43">
        <v>2017</v>
      </c>
      <c r="H305" s="43" t="s">
        <v>646</v>
      </c>
      <c r="I305" s="43" t="str">
        <f t="shared" si="2"/>
        <v>Middle</v>
      </c>
      <c r="J305" s="43" t="str">
        <f t="shared" si="3"/>
        <v>Yes</v>
      </c>
      <c r="K305" s="43"/>
      <c r="L305" s="43"/>
      <c r="M305" s="18"/>
      <c r="N305" s="18"/>
      <c r="O305" s="18"/>
      <c r="P305" s="18"/>
      <c r="Q305" s="18"/>
      <c r="R305" s="18"/>
      <c r="S305" s="18"/>
      <c r="T305" s="18"/>
      <c r="U305" s="18"/>
      <c r="V305" s="18"/>
      <c r="W305" s="18"/>
      <c r="X305" s="18"/>
      <c r="Y305" s="18"/>
      <c r="Z305" s="18"/>
      <c r="AA305" s="18"/>
      <c r="AB305" s="18"/>
    </row>
    <row r="306" spans="1:28" ht="12.5" customHeight="1">
      <c r="A306" s="19">
        <v>305</v>
      </c>
      <c r="B306" s="43" t="s">
        <v>1578</v>
      </c>
      <c r="C306" s="43" t="s">
        <v>1485</v>
      </c>
      <c r="D306" s="44" t="s">
        <v>1579</v>
      </c>
      <c r="E306" s="43" t="s">
        <v>1580</v>
      </c>
      <c r="F306" s="43" t="s">
        <v>1581</v>
      </c>
      <c r="G306" s="43">
        <v>2018</v>
      </c>
      <c r="H306" s="43" t="s">
        <v>1531</v>
      </c>
      <c r="I306" s="43" t="str">
        <f t="shared" si="2"/>
        <v>Recent</v>
      </c>
      <c r="J306" s="43" t="str">
        <f t="shared" si="3"/>
        <v>Yes</v>
      </c>
      <c r="K306" s="43"/>
      <c r="L306" s="43"/>
      <c r="M306" s="18"/>
      <c r="N306" s="18"/>
      <c r="O306" s="18"/>
      <c r="P306" s="18"/>
      <c r="Q306" s="18"/>
      <c r="R306" s="18"/>
      <c r="S306" s="18"/>
      <c r="T306" s="18"/>
      <c r="U306" s="18"/>
      <c r="V306" s="18"/>
      <c r="W306" s="18"/>
      <c r="X306" s="18"/>
      <c r="Y306" s="18"/>
      <c r="Z306" s="18"/>
      <c r="AA306" s="18"/>
      <c r="AB306" s="18"/>
    </row>
    <row r="307" spans="1:28" ht="12.5" customHeight="1">
      <c r="A307" s="19">
        <v>306</v>
      </c>
      <c r="B307" s="43" t="s">
        <v>1582</v>
      </c>
      <c r="C307" s="43" t="s">
        <v>1485</v>
      </c>
      <c r="D307" s="44" t="s">
        <v>1583</v>
      </c>
      <c r="E307" s="43" t="s">
        <v>1584</v>
      </c>
      <c r="F307" s="43" t="s">
        <v>1585</v>
      </c>
      <c r="G307" s="43">
        <v>2015</v>
      </c>
      <c r="H307" s="43" t="s">
        <v>1586</v>
      </c>
      <c r="I307" s="43" t="str">
        <f t="shared" si="2"/>
        <v>Middle</v>
      </c>
      <c r="J307" s="43" t="str">
        <f t="shared" si="3"/>
        <v>Yes</v>
      </c>
      <c r="K307" s="43"/>
      <c r="L307" s="43"/>
      <c r="M307" s="18"/>
      <c r="N307" s="18"/>
      <c r="O307" s="18"/>
      <c r="P307" s="18"/>
      <c r="Q307" s="18"/>
      <c r="R307" s="18"/>
      <c r="S307" s="18"/>
      <c r="T307" s="18"/>
      <c r="U307" s="18"/>
      <c r="V307" s="18"/>
      <c r="W307" s="18"/>
      <c r="X307" s="18"/>
      <c r="Y307" s="18"/>
      <c r="Z307" s="18"/>
      <c r="AA307" s="18"/>
      <c r="AB307" s="18"/>
    </row>
    <row r="308" spans="1:28" ht="12.5" customHeight="1">
      <c r="A308" s="19">
        <v>307</v>
      </c>
      <c r="B308" s="43" t="s">
        <v>1587</v>
      </c>
      <c r="C308" s="43" t="s">
        <v>1485</v>
      </c>
      <c r="D308" s="44" t="s">
        <v>1588</v>
      </c>
      <c r="E308" s="43" t="s">
        <v>1589</v>
      </c>
      <c r="F308" s="43" t="s">
        <v>1590</v>
      </c>
      <c r="G308" s="43">
        <v>2013</v>
      </c>
      <c r="H308" s="43" t="s">
        <v>1591</v>
      </c>
      <c r="I308" s="43" t="str">
        <f t="shared" si="2"/>
        <v>Middle</v>
      </c>
      <c r="J308" s="43" t="str">
        <f t="shared" si="3"/>
        <v>Yes</v>
      </c>
      <c r="K308" s="43"/>
      <c r="L308" s="43"/>
      <c r="M308" s="18"/>
      <c r="N308" s="18"/>
      <c r="O308" s="18"/>
      <c r="P308" s="18"/>
      <c r="Q308" s="18"/>
      <c r="R308" s="18"/>
      <c r="S308" s="18"/>
      <c r="T308" s="18"/>
      <c r="U308" s="18"/>
      <c r="V308" s="18"/>
      <c r="W308" s="18"/>
      <c r="X308" s="18"/>
      <c r="Y308" s="18"/>
      <c r="Z308" s="18"/>
      <c r="AA308" s="18"/>
      <c r="AB308" s="18"/>
    </row>
    <row r="309" spans="1:28" ht="12.5" customHeight="1">
      <c r="A309" s="19">
        <v>308</v>
      </c>
      <c r="B309" s="43" t="s">
        <v>1592</v>
      </c>
      <c r="C309" s="43" t="s">
        <v>1485</v>
      </c>
      <c r="D309" s="44" t="s">
        <v>1593</v>
      </c>
      <c r="E309" s="43" t="s">
        <v>1594</v>
      </c>
      <c r="F309" s="43" t="s">
        <v>1595</v>
      </c>
      <c r="G309" s="43">
        <v>2020</v>
      </c>
      <c r="H309" s="43" t="s">
        <v>1596</v>
      </c>
      <c r="I309" s="43" t="str">
        <f t="shared" si="2"/>
        <v>Recent</v>
      </c>
      <c r="J309" s="43" t="str">
        <f t="shared" si="3"/>
        <v>Yes</v>
      </c>
      <c r="K309" s="43"/>
      <c r="L309" s="43"/>
      <c r="M309" s="18"/>
      <c r="N309" s="18"/>
      <c r="O309" s="18"/>
      <c r="P309" s="18"/>
      <c r="Q309" s="18"/>
      <c r="R309" s="18"/>
      <c r="S309" s="18"/>
      <c r="T309" s="18"/>
      <c r="U309" s="18"/>
      <c r="V309" s="18"/>
      <c r="W309" s="18"/>
      <c r="X309" s="18"/>
      <c r="Y309" s="18"/>
      <c r="Z309" s="18"/>
      <c r="AA309" s="18"/>
      <c r="AB309" s="18"/>
    </row>
    <row r="310" spans="1:28" ht="12.5" customHeight="1">
      <c r="A310" s="19">
        <v>309</v>
      </c>
      <c r="B310" s="43" t="s">
        <v>1597</v>
      </c>
      <c r="C310" s="43" t="s">
        <v>1485</v>
      </c>
      <c r="D310" s="44" t="s">
        <v>1598</v>
      </c>
      <c r="E310" s="43" t="s">
        <v>1599</v>
      </c>
      <c r="F310" s="43" t="s">
        <v>1600</v>
      </c>
      <c r="G310" s="43">
        <v>2017</v>
      </c>
      <c r="H310" s="43" t="s">
        <v>1497</v>
      </c>
      <c r="I310" s="43" t="str">
        <f t="shared" si="2"/>
        <v>Middle</v>
      </c>
      <c r="J310" s="43" t="str">
        <f t="shared" si="3"/>
        <v>Yes</v>
      </c>
      <c r="K310" s="43"/>
      <c r="L310" s="43"/>
      <c r="M310" s="18"/>
      <c r="N310" s="18"/>
      <c r="O310" s="18"/>
      <c r="P310" s="18"/>
      <c r="Q310" s="18"/>
      <c r="R310" s="18"/>
      <c r="S310" s="18"/>
      <c r="T310" s="18"/>
      <c r="U310" s="18"/>
      <c r="V310" s="18"/>
      <c r="W310" s="18"/>
      <c r="X310" s="18"/>
      <c r="Y310" s="18"/>
      <c r="Z310" s="18"/>
      <c r="AA310" s="18"/>
      <c r="AB310" s="18"/>
    </row>
    <row r="311" spans="1:28" ht="12.5" customHeight="1">
      <c r="A311" s="19">
        <v>310</v>
      </c>
      <c r="B311" s="43" t="s">
        <v>1601</v>
      </c>
      <c r="C311" s="43" t="s">
        <v>1485</v>
      </c>
      <c r="D311" s="46" t="s">
        <v>1602</v>
      </c>
      <c r="E311" s="43" t="s">
        <v>1603</v>
      </c>
      <c r="F311" s="43" t="s">
        <v>1604</v>
      </c>
      <c r="G311" s="43">
        <v>2019</v>
      </c>
      <c r="H311" s="43" t="s">
        <v>641</v>
      </c>
      <c r="I311" s="43" t="str">
        <f t="shared" si="2"/>
        <v>Recent</v>
      </c>
      <c r="J311" s="43" t="str">
        <f t="shared" si="3"/>
        <v>Yes</v>
      </c>
      <c r="K311" s="43"/>
      <c r="L311" s="43"/>
      <c r="M311" s="18"/>
      <c r="N311" s="18"/>
      <c r="O311" s="18"/>
      <c r="P311" s="18"/>
      <c r="Q311" s="18"/>
      <c r="R311" s="18"/>
      <c r="S311" s="18"/>
      <c r="T311" s="18"/>
      <c r="U311" s="18"/>
      <c r="V311" s="18"/>
      <c r="W311" s="18"/>
      <c r="X311" s="18"/>
      <c r="Y311" s="18"/>
      <c r="Z311" s="18"/>
      <c r="AA311" s="18"/>
      <c r="AB311" s="18"/>
    </row>
    <row r="312" spans="1:28" ht="12.5" customHeight="1">
      <c r="A312" s="19">
        <v>311</v>
      </c>
      <c r="B312" s="43" t="s">
        <v>1605</v>
      </c>
      <c r="C312" s="43" t="s">
        <v>1485</v>
      </c>
      <c r="D312" s="44" t="s">
        <v>1606</v>
      </c>
      <c r="E312" s="43" t="s">
        <v>1607</v>
      </c>
      <c r="F312" s="43" t="s">
        <v>1608</v>
      </c>
      <c r="G312" s="43">
        <v>2016</v>
      </c>
      <c r="H312" s="43" t="s">
        <v>1609</v>
      </c>
      <c r="I312" s="43" t="str">
        <f t="shared" si="2"/>
        <v>Middle</v>
      </c>
      <c r="J312" s="43" t="str">
        <f t="shared" si="3"/>
        <v>Yes</v>
      </c>
      <c r="K312" s="43"/>
      <c r="L312" s="43"/>
      <c r="M312" s="18"/>
      <c r="N312" s="18"/>
      <c r="O312" s="18"/>
      <c r="P312" s="18"/>
      <c r="Q312" s="18"/>
      <c r="R312" s="18"/>
      <c r="S312" s="18"/>
      <c r="T312" s="18"/>
      <c r="U312" s="18"/>
      <c r="V312" s="18"/>
      <c r="W312" s="18"/>
      <c r="X312" s="18"/>
      <c r="Y312" s="18"/>
      <c r="Z312" s="18"/>
      <c r="AA312" s="18"/>
      <c r="AB312" s="18"/>
    </row>
    <row r="313" spans="1:28" ht="12.5" customHeight="1">
      <c r="A313" s="19">
        <v>312</v>
      </c>
      <c r="B313" s="43" t="s">
        <v>1610</v>
      </c>
      <c r="C313" s="43" t="s">
        <v>1485</v>
      </c>
      <c r="D313" s="44" t="s">
        <v>1611</v>
      </c>
      <c r="E313" s="43" t="s">
        <v>1612</v>
      </c>
      <c r="F313" s="43" t="s">
        <v>449</v>
      </c>
      <c r="G313" s="43">
        <v>2020</v>
      </c>
      <c r="H313" s="43" t="s">
        <v>641</v>
      </c>
      <c r="I313" s="43" t="str">
        <f t="shared" si="2"/>
        <v>Recent</v>
      </c>
      <c r="J313" s="43" t="str">
        <f t="shared" si="3"/>
        <v>Yes</v>
      </c>
      <c r="K313" s="43"/>
      <c r="L313" s="43"/>
      <c r="M313" s="18"/>
      <c r="N313" s="18"/>
      <c r="O313" s="18"/>
      <c r="P313" s="18"/>
      <c r="Q313" s="18"/>
      <c r="R313" s="18"/>
      <c r="S313" s="18"/>
      <c r="T313" s="18"/>
      <c r="U313" s="18"/>
      <c r="V313" s="18"/>
      <c r="W313" s="18"/>
      <c r="X313" s="18"/>
      <c r="Y313" s="18"/>
      <c r="Z313" s="18"/>
      <c r="AA313" s="18"/>
      <c r="AB313" s="18"/>
    </row>
    <row r="314" spans="1:28" ht="12.5" customHeight="1">
      <c r="A314" s="19">
        <v>313</v>
      </c>
      <c r="B314" s="43" t="s">
        <v>1613</v>
      </c>
      <c r="C314" s="43" t="s">
        <v>1485</v>
      </c>
      <c r="D314" s="44" t="s">
        <v>1614</v>
      </c>
      <c r="E314" s="43" t="s">
        <v>1615</v>
      </c>
      <c r="F314" s="43" t="s">
        <v>1234</v>
      </c>
      <c r="G314" s="43">
        <v>2018</v>
      </c>
      <c r="H314" s="43" t="s">
        <v>1616</v>
      </c>
      <c r="I314" s="43" t="str">
        <f t="shared" si="2"/>
        <v>Recent</v>
      </c>
      <c r="J314" s="43" t="str">
        <f t="shared" si="3"/>
        <v>Yes</v>
      </c>
      <c r="K314" s="43"/>
      <c r="L314" s="43"/>
      <c r="M314" s="18"/>
      <c r="N314" s="18"/>
      <c r="O314" s="18"/>
      <c r="P314" s="18"/>
      <c r="Q314" s="18"/>
      <c r="R314" s="18"/>
      <c r="S314" s="18"/>
      <c r="T314" s="18"/>
      <c r="U314" s="18"/>
      <c r="V314" s="18"/>
      <c r="W314" s="18"/>
      <c r="X314" s="18"/>
      <c r="Y314" s="18"/>
      <c r="Z314" s="18"/>
      <c r="AA314" s="18"/>
      <c r="AB314" s="18"/>
    </row>
    <row r="315" spans="1:28" ht="12.5" customHeight="1">
      <c r="A315" s="19">
        <v>314</v>
      </c>
      <c r="B315" s="43" t="s">
        <v>1617</v>
      </c>
      <c r="C315" s="43" t="s">
        <v>1485</v>
      </c>
      <c r="D315" s="44" t="s">
        <v>1618</v>
      </c>
      <c r="E315" s="43" t="s">
        <v>1619</v>
      </c>
      <c r="F315" s="43" t="s">
        <v>1620</v>
      </c>
      <c r="G315" s="43">
        <v>2020</v>
      </c>
      <c r="H315" s="43" t="s">
        <v>1621</v>
      </c>
      <c r="I315" s="43" t="str">
        <f t="shared" si="2"/>
        <v>Recent</v>
      </c>
      <c r="J315" s="43" t="str">
        <f t="shared" si="3"/>
        <v>Yes</v>
      </c>
      <c r="K315" s="43"/>
      <c r="L315" s="43"/>
      <c r="M315" s="18"/>
      <c r="N315" s="18"/>
      <c r="O315" s="18"/>
      <c r="P315" s="18"/>
      <c r="Q315" s="18"/>
      <c r="R315" s="18"/>
      <c r="S315" s="18"/>
      <c r="T315" s="18"/>
      <c r="U315" s="18"/>
      <c r="V315" s="18"/>
      <c r="W315" s="18"/>
      <c r="X315" s="18"/>
      <c r="Y315" s="18"/>
      <c r="Z315" s="18"/>
      <c r="AA315" s="18"/>
      <c r="AB315" s="18"/>
    </row>
    <row r="316" spans="1:28" ht="12.5" customHeight="1">
      <c r="A316" s="19">
        <v>315</v>
      </c>
      <c r="B316" s="43" t="s">
        <v>1622</v>
      </c>
      <c r="C316" s="43" t="s">
        <v>1485</v>
      </c>
      <c r="D316" s="44" t="s">
        <v>1623</v>
      </c>
      <c r="E316" s="43" t="s">
        <v>1624</v>
      </c>
      <c r="F316" s="43" t="s">
        <v>1625</v>
      </c>
      <c r="G316" s="43">
        <v>2022</v>
      </c>
      <c r="H316" s="43" t="s">
        <v>1626</v>
      </c>
      <c r="I316" s="43" t="str">
        <f t="shared" si="2"/>
        <v>Recent</v>
      </c>
      <c r="J316" s="43" t="str">
        <f t="shared" si="3"/>
        <v>Yes</v>
      </c>
      <c r="K316" s="43"/>
      <c r="L316" s="43"/>
      <c r="M316" s="18"/>
      <c r="N316" s="18"/>
      <c r="O316" s="18"/>
      <c r="P316" s="18"/>
      <c r="Q316" s="18"/>
      <c r="R316" s="18"/>
      <c r="S316" s="18"/>
      <c r="T316" s="18"/>
      <c r="U316" s="18"/>
      <c r="V316" s="18"/>
      <c r="W316" s="18"/>
      <c r="X316" s="18"/>
      <c r="Y316" s="18"/>
      <c r="Z316" s="18"/>
      <c r="AA316" s="18"/>
      <c r="AB316" s="18"/>
    </row>
    <row r="317" spans="1:28" ht="12.5" customHeight="1">
      <c r="A317" s="19">
        <v>316</v>
      </c>
      <c r="B317" s="43" t="s">
        <v>1627</v>
      </c>
      <c r="C317" s="43" t="s">
        <v>1485</v>
      </c>
      <c r="D317" s="44" t="s">
        <v>1628</v>
      </c>
      <c r="E317" s="43" t="s">
        <v>1629</v>
      </c>
      <c r="F317" s="43" t="s">
        <v>1630</v>
      </c>
      <c r="G317" s="43">
        <v>2016</v>
      </c>
      <c r="H317" s="43" t="s">
        <v>1497</v>
      </c>
      <c r="I317" s="43" t="str">
        <f t="shared" si="2"/>
        <v>Middle</v>
      </c>
      <c r="J317" s="43" t="str">
        <f t="shared" si="3"/>
        <v>Yes</v>
      </c>
      <c r="K317" s="43"/>
      <c r="L317" s="43"/>
      <c r="M317" s="18"/>
      <c r="N317" s="18"/>
      <c r="O317" s="18"/>
      <c r="P317" s="18"/>
      <c r="Q317" s="18"/>
      <c r="R317" s="18"/>
      <c r="S317" s="18"/>
      <c r="T317" s="18"/>
      <c r="U317" s="18"/>
      <c r="V317" s="18"/>
      <c r="W317" s="18"/>
      <c r="X317" s="18"/>
      <c r="Y317" s="18"/>
      <c r="Z317" s="18"/>
      <c r="AA317" s="18"/>
      <c r="AB317" s="18"/>
    </row>
    <row r="318" spans="1:28" ht="12.5" customHeight="1">
      <c r="A318" s="19">
        <v>317</v>
      </c>
      <c r="B318" s="43" t="s">
        <v>1631</v>
      </c>
      <c r="C318" s="43" t="s">
        <v>1485</v>
      </c>
      <c r="D318" s="44" t="s">
        <v>1632</v>
      </c>
      <c r="E318" s="43" t="s">
        <v>1633</v>
      </c>
      <c r="F318" s="43" t="s">
        <v>1634</v>
      </c>
      <c r="G318" s="43">
        <v>2017</v>
      </c>
      <c r="H318" s="43" t="s">
        <v>641</v>
      </c>
      <c r="I318" s="43" t="str">
        <f t="shared" si="2"/>
        <v>Middle</v>
      </c>
      <c r="J318" s="43" t="str">
        <f t="shared" si="3"/>
        <v>Yes</v>
      </c>
      <c r="K318" s="43"/>
      <c r="L318" s="43"/>
      <c r="M318" s="18"/>
      <c r="N318" s="18"/>
      <c r="O318" s="18"/>
      <c r="P318" s="18"/>
      <c r="Q318" s="18"/>
      <c r="R318" s="18"/>
      <c r="S318" s="18"/>
      <c r="T318" s="18"/>
      <c r="U318" s="18"/>
      <c r="V318" s="18"/>
      <c r="W318" s="18"/>
      <c r="X318" s="18"/>
      <c r="Y318" s="18"/>
      <c r="Z318" s="18"/>
      <c r="AA318" s="18"/>
      <c r="AB318" s="18"/>
    </row>
    <row r="319" spans="1:28" ht="12.5" customHeight="1">
      <c r="A319" s="19">
        <v>318</v>
      </c>
      <c r="B319" s="43" t="s">
        <v>1635</v>
      </c>
      <c r="C319" s="43" t="s">
        <v>1485</v>
      </c>
      <c r="D319" s="47" t="s">
        <v>1636</v>
      </c>
      <c r="E319" s="43" t="s">
        <v>1637</v>
      </c>
      <c r="F319" s="43" t="s">
        <v>1638</v>
      </c>
      <c r="G319" s="43">
        <v>2015</v>
      </c>
      <c r="H319" s="43" t="s">
        <v>1639</v>
      </c>
      <c r="I319" s="43" t="str">
        <f t="shared" si="2"/>
        <v>Middle</v>
      </c>
      <c r="J319" s="43" t="str">
        <f t="shared" si="3"/>
        <v>Yes</v>
      </c>
      <c r="K319" s="43"/>
      <c r="L319" s="43"/>
      <c r="M319" s="18"/>
      <c r="N319" s="18"/>
      <c r="O319" s="18"/>
      <c r="P319" s="18"/>
      <c r="Q319" s="18"/>
      <c r="R319" s="18"/>
      <c r="S319" s="18"/>
      <c r="T319" s="18"/>
      <c r="U319" s="18"/>
      <c r="V319" s="18"/>
      <c r="W319" s="18"/>
      <c r="X319" s="18"/>
      <c r="Y319" s="18"/>
      <c r="Z319" s="18"/>
      <c r="AA319" s="18"/>
      <c r="AB319" s="18"/>
    </row>
    <row r="320" spans="1:28" ht="12.5" customHeight="1">
      <c r="A320" s="19">
        <v>319</v>
      </c>
      <c r="B320" s="43" t="s">
        <v>1640</v>
      </c>
      <c r="C320" s="43" t="s">
        <v>1485</v>
      </c>
      <c r="D320" s="44" t="s">
        <v>1641</v>
      </c>
      <c r="E320" s="43" t="s">
        <v>1642</v>
      </c>
      <c r="F320" s="43" t="s">
        <v>1643</v>
      </c>
      <c r="G320" s="43">
        <v>2020</v>
      </c>
      <c r="H320" s="43" t="s">
        <v>1644</v>
      </c>
      <c r="I320" s="43" t="str">
        <f t="shared" si="2"/>
        <v>Recent</v>
      </c>
      <c r="J320" s="43" t="str">
        <f t="shared" si="3"/>
        <v>Yes</v>
      </c>
      <c r="K320" s="43"/>
      <c r="L320" s="43"/>
      <c r="M320" s="18"/>
      <c r="N320" s="18"/>
      <c r="O320" s="18"/>
      <c r="P320" s="18"/>
      <c r="Q320" s="18"/>
      <c r="R320" s="18"/>
      <c r="S320" s="18"/>
      <c r="T320" s="18"/>
      <c r="U320" s="18"/>
      <c r="V320" s="18"/>
      <c r="W320" s="18"/>
      <c r="X320" s="18"/>
      <c r="Y320" s="18"/>
      <c r="Z320" s="18"/>
      <c r="AA320" s="18"/>
      <c r="AB320" s="18"/>
    </row>
    <row r="321" spans="1:28" ht="12.5" customHeight="1">
      <c r="A321" s="19">
        <v>320</v>
      </c>
      <c r="B321" s="43" t="s">
        <v>1645</v>
      </c>
      <c r="C321" s="43" t="s">
        <v>1485</v>
      </c>
      <c r="D321" s="4" t="s">
        <v>1646</v>
      </c>
      <c r="E321" s="43" t="s">
        <v>1647</v>
      </c>
      <c r="F321" s="43" t="s">
        <v>1648</v>
      </c>
      <c r="G321" s="43">
        <v>2016</v>
      </c>
      <c r="H321" s="43" t="s">
        <v>1522</v>
      </c>
      <c r="I321" s="43" t="str">
        <f t="shared" si="2"/>
        <v>Middle</v>
      </c>
      <c r="J321" s="43" t="str">
        <f t="shared" si="3"/>
        <v>Yes</v>
      </c>
      <c r="K321" s="43"/>
      <c r="L321" s="43"/>
      <c r="M321" s="18"/>
      <c r="N321" s="18"/>
      <c r="O321" s="18"/>
      <c r="P321" s="18"/>
      <c r="Q321" s="18"/>
      <c r="R321" s="18"/>
      <c r="S321" s="18"/>
      <c r="T321" s="18"/>
      <c r="U321" s="18"/>
      <c r="V321" s="18"/>
      <c r="W321" s="18"/>
      <c r="X321" s="18"/>
      <c r="Y321" s="18"/>
      <c r="Z321" s="18"/>
      <c r="AA321" s="18"/>
      <c r="AB321" s="18"/>
    </row>
    <row r="322" spans="1:28" ht="12.5" customHeight="1">
      <c r="A322" s="23">
        <v>321</v>
      </c>
      <c r="B322" s="23" t="s">
        <v>1649</v>
      </c>
      <c r="C322" s="23" t="s">
        <v>1485</v>
      </c>
      <c r="D322" s="23"/>
      <c r="E322" s="23" t="s">
        <v>1650</v>
      </c>
      <c r="F322" s="23" t="s">
        <v>1651</v>
      </c>
      <c r="G322" s="23">
        <v>2019</v>
      </c>
      <c r="H322" s="23" t="s">
        <v>1652</v>
      </c>
      <c r="I322" s="23" t="str">
        <f t="shared" si="2"/>
        <v>Recent</v>
      </c>
      <c r="J322" s="23" t="str">
        <f t="shared" si="3"/>
        <v>No</v>
      </c>
      <c r="K322" s="23"/>
      <c r="L322" s="23"/>
      <c r="M322" s="23"/>
      <c r="N322" s="23"/>
      <c r="O322" s="23"/>
      <c r="P322" s="23"/>
      <c r="Q322" s="23"/>
      <c r="R322" s="23"/>
      <c r="S322" s="23"/>
      <c r="T322" s="23"/>
      <c r="U322" s="23"/>
      <c r="V322" s="23"/>
      <c r="W322" s="23"/>
      <c r="X322" s="23"/>
      <c r="Y322" s="23"/>
      <c r="Z322" s="23"/>
      <c r="AA322" s="23"/>
      <c r="AB322" s="23"/>
    </row>
    <row r="323" spans="1:28" ht="12.5" customHeight="1">
      <c r="A323" s="19">
        <v>322</v>
      </c>
      <c r="B323" s="43" t="s">
        <v>1653</v>
      </c>
      <c r="C323" s="43" t="s">
        <v>1485</v>
      </c>
      <c r="D323" s="44" t="s">
        <v>1654</v>
      </c>
      <c r="E323" s="43" t="s">
        <v>1655</v>
      </c>
      <c r="F323" s="43" t="s">
        <v>1656</v>
      </c>
      <c r="G323" s="43">
        <v>2014</v>
      </c>
      <c r="H323" s="43" t="s">
        <v>1489</v>
      </c>
      <c r="I323" s="43" t="str">
        <f t="shared" si="2"/>
        <v>Middle</v>
      </c>
      <c r="J323" s="43" t="str">
        <f t="shared" si="3"/>
        <v>Yes</v>
      </c>
      <c r="K323" s="43"/>
      <c r="L323" s="43"/>
      <c r="M323" s="18"/>
      <c r="N323" s="18"/>
      <c r="O323" s="18"/>
      <c r="P323" s="18"/>
      <c r="Q323" s="18"/>
      <c r="R323" s="18"/>
      <c r="S323" s="18"/>
      <c r="T323" s="18"/>
      <c r="U323" s="18"/>
      <c r="V323" s="18"/>
      <c r="W323" s="18"/>
      <c r="X323" s="18"/>
      <c r="Y323" s="18"/>
      <c r="Z323" s="18"/>
      <c r="AA323" s="18"/>
      <c r="AB323" s="18"/>
    </row>
    <row r="324" spans="1:28" ht="12.5" customHeight="1">
      <c r="A324" s="19">
        <v>323</v>
      </c>
      <c r="B324" s="43" t="s">
        <v>1657</v>
      </c>
      <c r="C324" s="43" t="s">
        <v>1485</v>
      </c>
      <c r="D324" s="4" t="s">
        <v>1658</v>
      </c>
      <c r="E324" s="43" t="s">
        <v>1659</v>
      </c>
      <c r="F324" s="43" t="s">
        <v>1660</v>
      </c>
      <c r="G324" s="43">
        <v>2013</v>
      </c>
      <c r="H324" s="43" t="s">
        <v>1522</v>
      </c>
      <c r="I324" s="43" t="str">
        <f t="shared" si="2"/>
        <v>Middle</v>
      </c>
      <c r="J324" s="43" t="str">
        <f t="shared" si="3"/>
        <v>Yes</v>
      </c>
      <c r="K324" s="43"/>
      <c r="L324" s="43"/>
      <c r="M324" s="18"/>
      <c r="N324" s="18"/>
      <c r="O324" s="18"/>
      <c r="P324" s="18"/>
      <c r="Q324" s="18"/>
      <c r="R324" s="18"/>
      <c r="S324" s="18"/>
      <c r="T324" s="18"/>
      <c r="U324" s="18"/>
      <c r="V324" s="18"/>
      <c r="W324" s="18"/>
      <c r="X324" s="18"/>
      <c r="Y324" s="18"/>
      <c r="Z324" s="18"/>
      <c r="AA324" s="18"/>
      <c r="AB324" s="18"/>
    </row>
    <row r="325" spans="1:28" ht="12.5" customHeight="1">
      <c r="A325" s="19">
        <v>324</v>
      </c>
      <c r="B325" s="43" t="s">
        <v>1661</v>
      </c>
      <c r="C325" s="43" t="s">
        <v>1485</v>
      </c>
      <c r="D325" s="44" t="s">
        <v>1662</v>
      </c>
      <c r="E325" s="43" t="s">
        <v>1663</v>
      </c>
      <c r="F325" s="43" t="s">
        <v>1664</v>
      </c>
      <c r="G325" s="43">
        <v>2022</v>
      </c>
      <c r="H325" s="43" t="s">
        <v>1665</v>
      </c>
      <c r="I325" s="43" t="str">
        <f t="shared" si="2"/>
        <v>Recent</v>
      </c>
      <c r="J325" s="43" t="str">
        <f t="shared" si="3"/>
        <v>Yes</v>
      </c>
      <c r="K325" s="43"/>
      <c r="L325" s="43"/>
      <c r="M325" s="18"/>
      <c r="N325" s="18"/>
      <c r="O325" s="18"/>
      <c r="P325" s="18"/>
      <c r="Q325" s="18"/>
      <c r="R325" s="18"/>
      <c r="S325" s="18"/>
      <c r="T325" s="18"/>
      <c r="U325" s="18"/>
      <c r="V325" s="18"/>
      <c r="W325" s="18"/>
      <c r="X325" s="18"/>
      <c r="Y325" s="18"/>
      <c r="Z325" s="18"/>
      <c r="AA325" s="18"/>
      <c r="AB325" s="18"/>
    </row>
    <row r="326" spans="1:28" ht="12.5" customHeight="1">
      <c r="A326" s="19">
        <v>325</v>
      </c>
      <c r="B326" s="43" t="s">
        <v>1666</v>
      </c>
      <c r="C326" s="43" t="s">
        <v>1485</v>
      </c>
      <c r="D326" s="44" t="s">
        <v>1667</v>
      </c>
      <c r="E326" s="43" t="s">
        <v>1668</v>
      </c>
      <c r="F326" s="43" t="s">
        <v>1669</v>
      </c>
      <c r="G326" s="43">
        <v>2015</v>
      </c>
      <c r="H326" s="43" t="s">
        <v>1670</v>
      </c>
      <c r="I326" s="43" t="str">
        <f t="shared" si="2"/>
        <v>Middle</v>
      </c>
      <c r="J326" s="43" t="str">
        <f t="shared" si="3"/>
        <v>Yes</v>
      </c>
      <c r="K326" s="43"/>
      <c r="L326" s="43"/>
      <c r="M326" s="18"/>
      <c r="N326" s="18"/>
      <c r="O326" s="18"/>
      <c r="P326" s="18"/>
      <c r="Q326" s="18"/>
      <c r="R326" s="18"/>
      <c r="S326" s="18"/>
      <c r="T326" s="18"/>
      <c r="U326" s="18"/>
      <c r="V326" s="18"/>
      <c r="W326" s="18"/>
      <c r="X326" s="18"/>
      <c r="Y326" s="18"/>
      <c r="Z326" s="18"/>
      <c r="AA326" s="18"/>
      <c r="AB326" s="18"/>
    </row>
    <row r="327" spans="1:28" ht="12.5" customHeight="1">
      <c r="A327" s="19">
        <v>326</v>
      </c>
      <c r="B327" s="43" t="s">
        <v>1671</v>
      </c>
      <c r="C327" s="43" t="s">
        <v>1485</v>
      </c>
      <c r="D327" s="4" t="s">
        <v>1672</v>
      </c>
      <c r="E327" s="43" t="s">
        <v>1673</v>
      </c>
      <c r="F327" s="43" t="s">
        <v>1674</v>
      </c>
      <c r="G327" s="43">
        <v>2014</v>
      </c>
      <c r="H327" s="43" t="s">
        <v>1522</v>
      </c>
      <c r="I327" s="43" t="str">
        <f t="shared" si="2"/>
        <v>Middle</v>
      </c>
      <c r="J327" s="43" t="str">
        <f t="shared" si="3"/>
        <v>Yes</v>
      </c>
      <c r="K327" s="43"/>
      <c r="L327" s="43"/>
      <c r="M327" s="18"/>
      <c r="N327" s="18"/>
      <c r="O327" s="18"/>
      <c r="P327" s="18"/>
      <c r="Q327" s="18"/>
      <c r="R327" s="18"/>
      <c r="S327" s="18"/>
      <c r="T327" s="18"/>
      <c r="U327" s="18"/>
      <c r="V327" s="18"/>
      <c r="W327" s="18"/>
      <c r="X327" s="18"/>
      <c r="Y327" s="18"/>
      <c r="Z327" s="18"/>
      <c r="AA327" s="18"/>
      <c r="AB327" s="18"/>
    </row>
    <row r="328" spans="1:28" ht="12.5" customHeight="1">
      <c r="A328" s="19">
        <v>327</v>
      </c>
      <c r="B328" s="43" t="s">
        <v>1675</v>
      </c>
      <c r="C328" s="43" t="s">
        <v>1485</v>
      </c>
      <c r="D328" s="4" t="s">
        <v>1676</v>
      </c>
      <c r="E328" s="43" t="s">
        <v>1677</v>
      </c>
      <c r="F328" s="43" t="s">
        <v>1678</v>
      </c>
      <c r="G328" s="43">
        <v>2020</v>
      </c>
      <c r="H328" s="43" t="s">
        <v>1679</v>
      </c>
      <c r="I328" s="43" t="str">
        <f t="shared" si="2"/>
        <v>Recent</v>
      </c>
      <c r="J328" s="43" t="str">
        <f t="shared" si="3"/>
        <v>Yes</v>
      </c>
      <c r="K328" s="43"/>
      <c r="L328" s="43"/>
      <c r="M328" s="18"/>
      <c r="N328" s="18"/>
      <c r="O328" s="18"/>
      <c r="P328" s="18"/>
      <c r="Q328" s="18"/>
      <c r="R328" s="18"/>
      <c r="S328" s="18"/>
      <c r="T328" s="18"/>
      <c r="U328" s="18"/>
      <c r="V328" s="18"/>
      <c r="W328" s="18"/>
      <c r="X328" s="18"/>
      <c r="Y328" s="18"/>
      <c r="Z328" s="18"/>
      <c r="AA328" s="18"/>
      <c r="AB328" s="18"/>
    </row>
    <row r="329" spans="1:28" ht="12.5" customHeight="1">
      <c r="A329" s="19">
        <v>328</v>
      </c>
      <c r="B329" s="43" t="s">
        <v>1680</v>
      </c>
      <c r="C329" s="43" t="s">
        <v>1485</v>
      </c>
      <c r="D329" s="44" t="s">
        <v>1681</v>
      </c>
      <c r="E329" s="43" t="s">
        <v>1682</v>
      </c>
      <c r="F329" s="43" t="s">
        <v>1683</v>
      </c>
      <c r="G329" s="43">
        <v>2017</v>
      </c>
      <c r="H329" s="43" t="s">
        <v>1684</v>
      </c>
      <c r="I329" s="43" t="str">
        <f t="shared" si="2"/>
        <v>Middle</v>
      </c>
      <c r="J329" s="43" t="str">
        <f t="shared" si="3"/>
        <v>Yes</v>
      </c>
      <c r="K329" s="43"/>
      <c r="L329" s="43"/>
      <c r="M329" s="18"/>
      <c r="N329" s="18"/>
      <c r="O329" s="18"/>
      <c r="P329" s="18"/>
      <c r="Q329" s="18"/>
      <c r="R329" s="18"/>
      <c r="S329" s="18"/>
      <c r="T329" s="18"/>
      <c r="U329" s="18"/>
      <c r="V329" s="18"/>
      <c r="W329" s="18"/>
      <c r="X329" s="18"/>
      <c r="Y329" s="18"/>
      <c r="Z329" s="18"/>
      <c r="AA329" s="18"/>
      <c r="AB329" s="18"/>
    </row>
    <row r="330" spans="1:28" ht="12.5" customHeight="1">
      <c r="A330" s="19">
        <v>329</v>
      </c>
      <c r="B330" s="43" t="s">
        <v>1685</v>
      </c>
      <c r="C330" s="43" t="s">
        <v>1485</v>
      </c>
      <c r="D330" s="44" t="s">
        <v>1686</v>
      </c>
      <c r="E330" s="43" t="s">
        <v>1687</v>
      </c>
      <c r="F330" s="43" t="s">
        <v>1688</v>
      </c>
      <c r="G330" s="43">
        <v>2021</v>
      </c>
      <c r="H330" s="43" t="s">
        <v>1512</v>
      </c>
      <c r="I330" s="43" t="str">
        <f t="shared" si="2"/>
        <v>Recent</v>
      </c>
      <c r="J330" s="43" t="str">
        <f t="shared" si="3"/>
        <v>Yes</v>
      </c>
      <c r="K330" s="43"/>
      <c r="L330" s="43"/>
      <c r="M330" s="18"/>
      <c r="N330" s="18"/>
      <c r="O330" s="18"/>
      <c r="P330" s="18"/>
      <c r="Q330" s="18"/>
      <c r="R330" s="18"/>
      <c r="S330" s="18"/>
      <c r="T330" s="18"/>
      <c r="U330" s="18"/>
      <c r="V330" s="18"/>
      <c r="W330" s="18"/>
      <c r="X330" s="18"/>
      <c r="Y330" s="18"/>
      <c r="Z330" s="18"/>
      <c r="AA330" s="18"/>
      <c r="AB330" s="18"/>
    </row>
    <row r="331" spans="1:28" ht="12.5" customHeight="1">
      <c r="A331" s="19">
        <v>330</v>
      </c>
      <c r="B331" s="48" t="s">
        <v>1689</v>
      </c>
      <c r="C331" s="48" t="s">
        <v>1690</v>
      </c>
      <c r="D331" s="49" t="s">
        <v>1691</v>
      </c>
      <c r="E331" s="48" t="s">
        <v>1692</v>
      </c>
      <c r="F331" s="48" t="s">
        <v>1693</v>
      </c>
      <c r="G331" s="48">
        <v>2011</v>
      </c>
      <c r="H331" s="48" t="s">
        <v>1694</v>
      </c>
      <c r="I331" s="48" t="str">
        <f t="shared" si="2"/>
        <v>Middle</v>
      </c>
      <c r="J331" s="48" t="str">
        <f t="shared" si="3"/>
        <v>Yes</v>
      </c>
      <c r="K331" s="48"/>
      <c r="L331" s="48"/>
      <c r="M331" s="18"/>
      <c r="N331" s="18"/>
      <c r="O331" s="18"/>
      <c r="P331" s="18"/>
      <c r="Q331" s="18"/>
      <c r="R331" s="18"/>
      <c r="S331" s="18"/>
      <c r="T331" s="18"/>
      <c r="U331" s="18"/>
      <c r="V331" s="18"/>
      <c r="W331" s="18"/>
      <c r="X331" s="18"/>
      <c r="Y331" s="18"/>
      <c r="Z331" s="18"/>
      <c r="AA331" s="18"/>
      <c r="AB331" s="18"/>
    </row>
    <row r="332" spans="1:28" ht="12.5" customHeight="1">
      <c r="A332" s="23">
        <v>331</v>
      </c>
      <c r="B332" s="23" t="s">
        <v>1695</v>
      </c>
      <c r="C332" s="23" t="s">
        <v>1690</v>
      </c>
      <c r="D332" s="23"/>
      <c r="E332" s="23" t="s">
        <v>1696</v>
      </c>
      <c r="F332" s="23" t="s">
        <v>1697</v>
      </c>
      <c r="G332" s="23">
        <v>1996</v>
      </c>
      <c r="H332" s="23" t="s">
        <v>1698</v>
      </c>
      <c r="I332" s="23" t="str">
        <f t="shared" si="2"/>
        <v>Early</v>
      </c>
      <c r="J332" s="23" t="str">
        <f t="shared" si="3"/>
        <v>No</v>
      </c>
      <c r="K332" s="23"/>
      <c r="L332" s="23"/>
      <c r="M332" s="23"/>
      <c r="N332" s="23"/>
      <c r="O332" s="23"/>
      <c r="P332" s="23"/>
      <c r="Q332" s="23"/>
      <c r="R332" s="23"/>
      <c r="S332" s="23"/>
      <c r="T332" s="23"/>
      <c r="U332" s="23"/>
      <c r="V332" s="23"/>
      <c r="W332" s="23"/>
      <c r="X332" s="23"/>
      <c r="Y332" s="23"/>
      <c r="Z332" s="23"/>
      <c r="AA332" s="23"/>
      <c r="AB332" s="23"/>
    </row>
    <row r="333" spans="1:28" ht="12.5" customHeight="1">
      <c r="A333" s="19">
        <v>332</v>
      </c>
      <c r="B333" s="48" t="s">
        <v>1699</v>
      </c>
      <c r="C333" s="48" t="s">
        <v>1690</v>
      </c>
      <c r="D333" s="49" t="s">
        <v>1700</v>
      </c>
      <c r="E333" s="48" t="s">
        <v>1701</v>
      </c>
      <c r="F333" s="48" t="s">
        <v>1702</v>
      </c>
      <c r="G333" s="48">
        <v>2003</v>
      </c>
      <c r="H333" s="48" t="s">
        <v>1703</v>
      </c>
      <c r="I333" s="48" t="str">
        <f t="shared" si="2"/>
        <v>Early</v>
      </c>
      <c r="J333" s="48" t="str">
        <f t="shared" si="3"/>
        <v>Yes</v>
      </c>
      <c r="K333" s="48"/>
      <c r="L333" s="48"/>
      <c r="M333" s="18"/>
      <c r="N333" s="18"/>
      <c r="O333" s="18"/>
      <c r="P333" s="18"/>
      <c r="Q333" s="18"/>
      <c r="R333" s="18"/>
      <c r="S333" s="18"/>
      <c r="T333" s="18"/>
      <c r="U333" s="18"/>
      <c r="V333" s="18"/>
      <c r="W333" s="18"/>
      <c r="X333" s="18"/>
      <c r="Y333" s="18"/>
      <c r="Z333" s="18"/>
      <c r="AA333" s="18"/>
      <c r="AB333" s="18"/>
    </row>
    <row r="334" spans="1:28" ht="12.5" customHeight="1">
      <c r="A334" s="19">
        <v>333</v>
      </c>
      <c r="B334" s="48" t="s">
        <v>1704</v>
      </c>
      <c r="C334" s="48" t="s">
        <v>1690</v>
      </c>
      <c r="D334" s="49" t="s">
        <v>1705</v>
      </c>
      <c r="E334" s="48" t="s">
        <v>1706</v>
      </c>
      <c r="F334" s="48" t="s">
        <v>1707</v>
      </c>
      <c r="G334" s="48">
        <v>2019</v>
      </c>
      <c r="H334" s="48" t="s">
        <v>1708</v>
      </c>
      <c r="I334" s="48" t="str">
        <f t="shared" si="2"/>
        <v>Recent</v>
      </c>
      <c r="J334" s="48" t="str">
        <f t="shared" si="3"/>
        <v>Yes</v>
      </c>
      <c r="K334" s="48"/>
      <c r="L334" s="48"/>
      <c r="M334" s="18"/>
      <c r="N334" s="18"/>
      <c r="O334" s="18"/>
      <c r="P334" s="18"/>
      <c r="Q334" s="18"/>
      <c r="R334" s="18"/>
      <c r="S334" s="18"/>
      <c r="T334" s="18"/>
      <c r="U334" s="18"/>
      <c r="V334" s="18"/>
      <c r="W334" s="18"/>
      <c r="X334" s="18"/>
      <c r="Y334" s="18"/>
      <c r="Z334" s="18"/>
      <c r="AA334" s="18"/>
      <c r="AB334" s="18"/>
    </row>
    <row r="335" spans="1:28" ht="12.5" customHeight="1">
      <c r="A335" s="19">
        <v>334</v>
      </c>
      <c r="B335" s="48" t="s">
        <v>1709</v>
      </c>
      <c r="C335" s="48" t="s">
        <v>1690</v>
      </c>
      <c r="D335" s="4" t="s">
        <v>1710</v>
      </c>
      <c r="E335" s="48" t="s">
        <v>1711</v>
      </c>
      <c r="F335" s="48" t="s">
        <v>1712</v>
      </c>
      <c r="G335" s="48">
        <v>2010</v>
      </c>
      <c r="H335" s="48" t="s">
        <v>1713</v>
      </c>
      <c r="I335" s="48" t="str">
        <f t="shared" si="2"/>
        <v>Middle</v>
      </c>
      <c r="J335" s="48" t="str">
        <f t="shared" si="3"/>
        <v>Yes</v>
      </c>
      <c r="K335" s="48"/>
      <c r="L335" s="48"/>
      <c r="M335" s="18"/>
      <c r="N335" s="18"/>
      <c r="O335" s="18"/>
      <c r="P335" s="18"/>
      <c r="Q335" s="18"/>
      <c r="R335" s="18"/>
      <c r="S335" s="18"/>
      <c r="T335" s="18"/>
      <c r="U335" s="18"/>
      <c r="V335" s="18"/>
      <c r="W335" s="18"/>
      <c r="X335" s="18"/>
      <c r="Y335" s="18"/>
      <c r="Z335" s="18"/>
      <c r="AA335" s="18"/>
      <c r="AB335" s="18"/>
    </row>
    <row r="336" spans="1:28" ht="12.5" customHeight="1">
      <c r="A336" s="19">
        <v>335</v>
      </c>
      <c r="B336" s="48" t="s">
        <v>1714</v>
      </c>
      <c r="C336" s="48" t="s">
        <v>1690</v>
      </c>
      <c r="D336" s="4" t="s">
        <v>1715</v>
      </c>
      <c r="E336" s="48" t="s">
        <v>1716</v>
      </c>
      <c r="F336" s="48" t="s">
        <v>1717</v>
      </c>
      <c r="G336" s="48">
        <v>2013</v>
      </c>
      <c r="H336" s="48" t="s">
        <v>1718</v>
      </c>
      <c r="I336" s="48" t="str">
        <f t="shared" si="2"/>
        <v>Middle</v>
      </c>
      <c r="J336" s="48" t="str">
        <f t="shared" si="3"/>
        <v>Yes</v>
      </c>
      <c r="K336" s="48"/>
      <c r="L336" s="48"/>
      <c r="M336" s="18"/>
      <c r="N336" s="18"/>
      <c r="O336" s="18"/>
      <c r="P336" s="18"/>
      <c r="Q336" s="18"/>
      <c r="R336" s="18"/>
      <c r="S336" s="18"/>
      <c r="T336" s="18"/>
      <c r="U336" s="18"/>
      <c r="V336" s="18"/>
      <c r="W336" s="18"/>
      <c r="X336" s="18"/>
      <c r="Y336" s="18"/>
      <c r="Z336" s="18"/>
      <c r="AA336" s="18"/>
      <c r="AB336" s="18"/>
    </row>
    <row r="337" spans="1:28" ht="12.5" customHeight="1">
      <c r="A337" s="19">
        <v>336</v>
      </c>
      <c r="B337" s="48" t="s">
        <v>1719</v>
      </c>
      <c r="C337" s="48" t="s">
        <v>1690</v>
      </c>
      <c r="D337" s="49" t="s">
        <v>1720</v>
      </c>
      <c r="E337" s="48" t="s">
        <v>1721</v>
      </c>
      <c r="F337" s="48" t="s">
        <v>1722</v>
      </c>
      <c r="G337" s="48">
        <v>2013</v>
      </c>
      <c r="H337" s="48" t="s">
        <v>1723</v>
      </c>
      <c r="I337" s="48" t="str">
        <f t="shared" si="2"/>
        <v>Middle</v>
      </c>
      <c r="J337" s="48" t="str">
        <f t="shared" si="3"/>
        <v>Yes</v>
      </c>
      <c r="K337" s="48"/>
      <c r="L337" s="48"/>
      <c r="M337" s="18"/>
      <c r="N337" s="18"/>
      <c r="O337" s="18"/>
      <c r="P337" s="18"/>
      <c r="Q337" s="18"/>
      <c r="R337" s="18"/>
      <c r="S337" s="18"/>
      <c r="T337" s="18"/>
      <c r="U337" s="18"/>
      <c r="V337" s="18"/>
      <c r="W337" s="18"/>
      <c r="X337" s="18"/>
      <c r="Y337" s="18"/>
      <c r="Z337" s="18"/>
      <c r="AA337" s="18"/>
      <c r="AB337" s="18"/>
    </row>
    <row r="338" spans="1:28" ht="12.5" customHeight="1">
      <c r="A338" s="19">
        <v>337</v>
      </c>
      <c r="B338" s="48" t="s">
        <v>1724</v>
      </c>
      <c r="C338" s="48" t="s">
        <v>1690</v>
      </c>
      <c r="D338" s="49" t="s">
        <v>1725</v>
      </c>
      <c r="E338" s="48" t="s">
        <v>1726</v>
      </c>
      <c r="F338" s="48" t="s">
        <v>1727</v>
      </c>
      <c r="G338" s="48">
        <v>2016</v>
      </c>
      <c r="H338" s="48" t="s">
        <v>1728</v>
      </c>
      <c r="I338" s="48" t="str">
        <f t="shared" si="2"/>
        <v>Middle</v>
      </c>
      <c r="J338" s="48" t="str">
        <f t="shared" si="3"/>
        <v>Yes</v>
      </c>
      <c r="K338" s="48"/>
      <c r="L338" s="48"/>
      <c r="M338" s="18"/>
      <c r="N338" s="18"/>
      <c r="O338" s="18"/>
      <c r="P338" s="18"/>
      <c r="Q338" s="18"/>
      <c r="R338" s="18"/>
      <c r="S338" s="18"/>
      <c r="T338" s="18"/>
      <c r="U338" s="18"/>
      <c r="V338" s="18"/>
      <c r="W338" s="18"/>
      <c r="X338" s="18"/>
      <c r="Y338" s="18"/>
      <c r="Z338" s="18"/>
      <c r="AA338" s="18"/>
      <c r="AB338" s="18"/>
    </row>
    <row r="339" spans="1:28" ht="12.5" customHeight="1">
      <c r="A339" s="19">
        <v>338</v>
      </c>
      <c r="B339" s="48" t="s">
        <v>1729</v>
      </c>
      <c r="C339" s="48" t="s">
        <v>1690</v>
      </c>
      <c r="D339" s="49" t="s">
        <v>1730</v>
      </c>
      <c r="E339" s="48" t="s">
        <v>1731</v>
      </c>
      <c r="F339" s="48" t="s">
        <v>1727</v>
      </c>
      <c r="G339" s="48">
        <v>2015</v>
      </c>
      <c r="H339" s="48" t="s">
        <v>1728</v>
      </c>
      <c r="I339" s="48" t="str">
        <f t="shared" si="2"/>
        <v>Middle</v>
      </c>
      <c r="J339" s="48" t="str">
        <f t="shared" si="3"/>
        <v>Yes</v>
      </c>
      <c r="K339" s="48"/>
      <c r="L339" s="48"/>
      <c r="M339" s="18"/>
      <c r="N339" s="18"/>
      <c r="O339" s="18"/>
      <c r="P339" s="18"/>
      <c r="Q339" s="18"/>
      <c r="R339" s="18"/>
      <c r="S339" s="18"/>
      <c r="T339" s="18"/>
      <c r="U339" s="18"/>
      <c r="V339" s="18"/>
      <c r="W339" s="18"/>
      <c r="X339" s="18"/>
      <c r="Y339" s="18"/>
      <c r="Z339" s="18"/>
      <c r="AA339" s="18"/>
      <c r="AB339" s="18"/>
    </row>
    <row r="340" spans="1:28" ht="12.5" customHeight="1">
      <c r="A340" s="19">
        <v>339</v>
      </c>
      <c r="B340" s="48" t="s">
        <v>1732</v>
      </c>
      <c r="C340" s="48" t="s">
        <v>1690</v>
      </c>
      <c r="D340" s="49" t="s">
        <v>1733</v>
      </c>
      <c r="E340" s="48" t="s">
        <v>1734</v>
      </c>
      <c r="F340" s="48" t="s">
        <v>1727</v>
      </c>
      <c r="G340" s="48">
        <v>2012</v>
      </c>
      <c r="H340" s="48" t="s">
        <v>1735</v>
      </c>
      <c r="I340" s="48" t="str">
        <f t="shared" si="2"/>
        <v>Middle</v>
      </c>
      <c r="J340" s="48" t="str">
        <f t="shared" si="3"/>
        <v>Yes</v>
      </c>
      <c r="K340" s="48"/>
      <c r="L340" s="48"/>
      <c r="M340" s="18"/>
      <c r="N340" s="18"/>
      <c r="O340" s="18"/>
      <c r="P340" s="18"/>
      <c r="Q340" s="18"/>
      <c r="R340" s="18"/>
      <c r="S340" s="18"/>
      <c r="T340" s="18"/>
      <c r="U340" s="18"/>
      <c r="V340" s="18"/>
      <c r="W340" s="18"/>
      <c r="X340" s="18"/>
      <c r="Y340" s="18"/>
      <c r="Z340" s="18"/>
      <c r="AA340" s="18"/>
      <c r="AB340" s="18"/>
    </row>
    <row r="341" spans="1:28" ht="12.5" customHeight="1">
      <c r="A341" s="19">
        <v>340</v>
      </c>
      <c r="B341" s="48" t="s">
        <v>1736</v>
      </c>
      <c r="C341" s="48" t="s">
        <v>1690</v>
      </c>
      <c r="D341" s="49" t="s">
        <v>1737</v>
      </c>
      <c r="E341" s="48" t="s">
        <v>1738</v>
      </c>
      <c r="F341" s="48" t="s">
        <v>1739</v>
      </c>
      <c r="G341" s="48">
        <v>2018</v>
      </c>
      <c r="H341" s="48" t="s">
        <v>1723</v>
      </c>
      <c r="I341" s="48" t="str">
        <f t="shared" si="2"/>
        <v>Recent</v>
      </c>
      <c r="J341" s="48" t="str">
        <f t="shared" si="3"/>
        <v>Yes</v>
      </c>
      <c r="K341" s="48"/>
      <c r="L341" s="48"/>
      <c r="M341" s="18"/>
      <c r="N341" s="18"/>
      <c r="O341" s="18"/>
      <c r="P341" s="18"/>
      <c r="Q341" s="18"/>
      <c r="R341" s="18"/>
      <c r="S341" s="18"/>
      <c r="T341" s="18"/>
      <c r="U341" s="18"/>
      <c r="V341" s="18"/>
      <c r="W341" s="18"/>
      <c r="X341" s="18"/>
      <c r="Y341" s="18"/>
      <c r="Z341" s="18"/>
      <c r="AA341" s="18"/>
      <c r="AB341" s="18"/>
    </row>
    <row r="342" spans="1:28" ht="12.5" customHeight="1">
      <c r="A342" s="23">
        <v>341</v>
      </c>
      <c r="B342" s="23" t="s">
        <v>1740</v>
      </c>
      <c r="C342" s="23" t="s">
        <v>1690</v>
      </c>
      <c r="D342" s="23"/>
      <c r="E342" s="23" t="s">
        <v>1741</v>
      </c>
      <c r="F342" s="23" t="s">
        <v>1742</v>
      </c>
      <c r="G342" s="23">
        <v>2010</v>
      </c>
      <c r="H342" s="23" t="s">
        <v>1743</v>
      </c>
      <c r="I342" s="23" t="str">
        <f t="shared" si="2"/>
        <v>Middle</v>
      </c>
      <c r="J342" s="23" t="str">
        <f t="shared" si="3"/>
        <v>No</v>
      </c>
      <c r="K342" s="23"/>
      <c r="L342" s="23"/>
      <c r="M342" s="23"/>
      <c r="N342" s="23"/>
      <c r="O342" s="23"/>
      <c r="P342" s="23"/>
      <c r="Q342" s="23"/>
      <c r="R342" s="23"/>
      <c r="S342" s="23"/>
      <c r="T342" s="23"/>
      <c r="U342" s="23"/>
      <c r="V342" s="23"/>
      <c r="W342" s="23"/>
      <c r="X342" s="23"/>
      <c r="Y342" s="23"/>
      <c r="Z342" s="23"/>
      <c r="AA342" s="23"/>
      <c r="AB342" s="23"/>
    </row>
    <row r="343" spans="1:28" ht="12.5" customHeight="1">
      <c r="A343" s="19">
        <v>342</v>
      </c>
      <c r="B343" s="48" t="s">
        <v>1744</v>
      </c>
      <c r="C343" s="48" t="s">
        <v>1690</v>
      </c>
      <c r="D343" s="49" t="s">
        <v>1745</v>
      </c>
      <c r="E343" s="48" t="s">
        <v>1746</v>
      </c>
      <c r="F343" s="48" t="s">
        <v>1747</v>
      </c>
      <c r="G343" s="48">
        <v>2003</v>
      </c>
      <c r="H343" s="48" t="s">
        <v>1735</v>
      </c>
      <c r="I343" s="48" t="str">
        <f t="shared" si="2"/>
        <v>Early</v>
      </c>
      <c r="J343" s="48" t="str">
        <f t="shared" si="3"/>
        <v>Yes</v>
      </c>
      <c r="K343" s="48"/>
      <c r="L343" s="48"/>
      <c r="M343" s="18"/>
      <c r="N343" s="18"/>
      <c r="O343" s="18"/>
      <c r="P343" s="18"/>
      <c r="Q343" s="18"/>
      <c r="R343" s="18"/>
      <c r="S343" s="18"/>
      <c r="T343" s="18"/>
      <c r="U343" s="18"/>
      <c r="V343" s="18"/>
      <c r="W343" s="18"/>
      <c r="X343" s="18"/>
      <c r="Y343" s="18"/>
      <c r="Z343" s="18"/>
      <c r="AA343" s="18"/>
      <c r="AB343" s="18"/>
    </row>
    <row r="344" spans="1:28" ht="12.5" customHeight="1">
      <c r="A344" s="19">
        <v>343</v>
      </c>
      <c r="B344" s="48" t="s">
        <v>1748</v>
      </c>
      <c r="C344" s="48" t="s">
        <v>1690</v>
      </c>
      <c r="D344" s="49" t="s">
        <v>1749</v>
      </c>
      <c r="E344" s="48" t="s">
        <v>1750</v>
      </c>
      <c r="F344" s="48" t="s">
        <v>1751</v>
      </c>
      <c r="G344" s="48">
        <v>2007</v>
      </c>
      <c r="H344" s="48" t="s">
        <v>1708</v>
      </c>
      <c r="I344" s="48" t="str">
        <f t="shared" si="2"/>
        <v>Early</v>
      </c>
      <c r="J344" s="48" t="str">
        <f t="shared" si="3"/>
        <v>Yes</v>
      </c>
      <c r="K344" s="48"/>
      <c r="L344" s="48"/>
      <c r="M344" s="18"/>
      <c r="N344" s="18"/>
      <c r="O344" s="18"/>
      <c r="P344" s="18"/>
      <c r="Q344" s="18"/>
      <c r="R344" s="18"/>
      <c r="S344" s="18"/>
      <c r="T344" s="18"/>
      <c r="U344" s="18"/>
      <c r="V344" s="18"/>
      <c r="W344" s="18"/>
      <c r="X344" s="18"/>
      <c r="Y344" s="18"/>
      <c r="Z344" s="18"/>
      <c r="AA344" s="18"/>
      <c r="AB344" s="18"/>
    </row>
    <row r="345" spans="1:28" ht="12.5" customHeight="1">
      <c r="A345" s="19">
        <v>344</v>
      </c>
      <c r="B345" s="48" t="s">
        <v>1752</v>
      </c>
      <c r="C345" s="48" t="s">
        <v>1690</v>
      </c>
      <c r="D345" s="4" t="s">
        <v>1753</v>
      </c>
      <c r="E345" s="48" t="s">
        <v>1754</v>
      </c>
      <c r="F345" s="48" t="s">
        <v>1755</v>
      </c>
      <c r="G345" s="48">
        <v>2010</v>
      </c>
      <c r="H345" s="48" t="s">
        <v>1756</v>
      </c>
      <c r="I345" s="48" t="str">
        <f t="shared" si="2"/>
        <v>Middle</v>
      </c>
      <c r="J345" s="48" t="str">
        <f t="shared" si="3"/>
        <v>Yes</v>
      </c>
      <c r="K345" s="48"/>
      <c r="L345" s="48"/>
      <c r="M345" s="18"/>
      <c r="N345" s="18"/>
      <c r="O345" s="18"/>
      <c r="P345" s="18"/>
      <c r="Q345" s="18"/>
      <c r="R345" s="18"/>
      <c r="S345" s="18"/>
      <c r="T345" s="18"/>
      <c r="U345" s="18"/>
      <c r="V345" s="18"/>
      <c r="W345" s="18"/>
      <c r="X345" s="18"/>
      <c r="Y345" s="18"/>
      <c r="Z345" s="18"/>
      <c r="AA345" s="18"/>
      <c r="AB345" s="18"/>
    </row>
    <row r="346" spans="1:28" ht="12.5" customHeight="1">
      <c r="A346" s="19">
        <v>345</v>
      </c>
      <c r="B346" s="48" t="s">
        <v>1757</v>
      </c>
      <c r="C346" s="48" t="s">
        <v>1690</v>
      </c>
      <c r="D346" s="49" t="s">
        <v>1758</v>
      </c>
      <c r="E346" s="48" t="s">
        <v>1759</v>
      </c>
      <c r="F346" s="48" t="s">
        <v>1760</v>
      </c>
      <c r="G346" s="48">
        <v>2016</v>
      </c>
      <c r="H346" s="48" t="s">
        <v>1703</v>
      </c>
      <c r="I346" s="48" t="str">
        <f t="shared" si="2"/>
        <v>Middle</v>
      </c>
      <c r="J346" s="48" t="str">
        <f t="shared" si="3"/>
        <v>Yes</v>
      </c>
      <c r="K346" s="48"/>
      <c r="L346" s="48"/>
      <c r="M346" s="18"/>
      <c r="N346" s="18"/>
      <c r="O346" s="18"/>
      <c r="P346" s="18"/>
      <c r="Q346" s="18"/>
      <c r="R346" s="18"/>
      <c r="S346" s="18"/>
      <c r="T346" s="18"/>
      <c r="U346" s="18"/>
      <c r="V346" s="18"/>
      <c r="W346" s="18"/>
      <c r="X346" s="18"/>
      <c r="Y346" s="18"/>
      <c r="Z346" s="18"/>
      <c r="AA346" s="18"/>
      <c r="AB346" s="18"/>
    </row>
    <row r="347" spans="1:28" ht="12.5" customHeight="1">
      <c r="A347" s="23">
        <v>346</v>
      </c>
      <c r="B347" s="23" t="s">
        <v>1761</v>
      </c>
      <c r="C347" s="23" t="s">
        <v>1690</v>
      </c>
      <c r="D347" s="23"/>
      <c r="E347" s="23" t="s">
        <v>1762</v>
      </c>
      <c r="F347" s="23" t="s">
        <v>1763</v>
      </c>
      <c r="G347" s="23">
        <v>2003</v>
      </c>
      <c r="H347" s="23" t="s">
        <v>1764</v>
      </c>
      <c r="I347" s="23" t="str">
        <f t="shared" si="2"/>
        <v>Early</v>
      </c>
      <c r="J347" s="23" t="str">
        <f t="shared" si="3"/>
        <v>No</v>
      </c>
      <c r="K347" s="23"/>
      <c r="L347" s="23"/>
      <c r="M347" s="23"/>
      <c r="N347" s="23"/>
      <c r="O347" s="23"/>
      <c r="P347" s="23"/>
      <c r="Q347" s="23"/>
      <c r="R347" s="23"/>
      <c r="S347" s="23"/>
      <c r="T347" s="23"/>
      <c r="U347" s="23"/>
      <c r="V347" s="23"/>
      <c r="W347" s="23"/>
      <c r="X347" s="23"/>
      <c r="Y347" s="23"/>
      <c r="Z347" s="23"/>
      <c r="AA347" s="23"/>
      <c r="AB347" s="23"/>
    </row>
    <row r="348" spans="1:28" ht="12.5" customHeight="1">
      <c r="A348" s="19">
        <v>347</v>
      </c>
      <c r="B348" s="48" t="s">
        <v>1765</v>
      </c>
      <c r="C348" s="48" t="s">
        <v>1690</v>
      </c>
      <c r="D348" s="49" t="s">
        <v>1766</v>
      </c>
      <c r="E348" s="48" t="s">
        <v>1767</v>
      </c>
      <c r="F348" s="48" t="s">
        <v>1768</v>
      </c>
      <c r="G348" s="48">
        <v>2020</v>
      </c>
      <c r="H348" s="48" t="s">
        <v>1769</v>
      </c>
      <c r="I348" s="48" t="str">
        <f t="shared" si="2"/>
        <v>Recent</v>
      </c>
      <c r="J348" s="48" t="str">
        <f t="shared" si="3"/>
        <v>Yes</v>
      </c>
      <c r="K348" s="48"/>
      <c r="L348" s="48"/>
      <c r="M348" s="18"/>
      <c r="N348" s="18"/>
      <c r="O348" s="18"/>
      <c r="P348" s="18"/>
      <c r="Q348" s="18"/>
      <c r="R348" s="18"/>
      <c r="S348" s="18"/>
      <c r="T348" s="18"/>
      <c r="U348" s="18"/>
      <c r="V348" s="18"/>
      <c r="W348" s="18"/>
      <c r="X348" s="18"/>
      <c r="Y348" s="18"/>
      <c r="Z348" s="18"/>
      <c r="AA348" s="18"/>
      <c r="AB348" s="18"/>
    </row>
    <row r="349" spans="1:28" ht="12.5" customHeight="1">
      <c r="A349" s="19">
        <v>348</v>
      </c>
      <c r="B349" s="48" t="s">
        <v>1770</v>
      </c>
      <c r="C349" s="48" t="s">
        <v>1690</v>
      </c>
      <c r="D349" s="49" t="s">
        <v>1771</v>
      </c>
      <c r="E349" s="48" t="s">
        <v>1772</v>
      </c>
      <c r="F349" s="48" t="s">
        <v>1773</v>
      </c>
      <c r="G349" s="48">
        <v>2012</v>
      </c>
      <c r="H349" s="48" t="s">
        <v>1756</v>
      </c>
      <c r="I349" s="48" t="str">
        <f t="shared" si="2"/>
        <v>Middle</v>
      </c>
      <c r="J349" s="48" t="str">
        <f t="shared" si="3"/>
        <v>Yes</v>
      </c>
      <c r="K349" s="48"/>
      <c r="L349" s="48"/>
      <c r="M349" s="18"/>
      <c r="N349" s="18"/>
      <c r="O349" s="18"/>
      <c r="P349" s="18"/>
      <c r="Q349" s="18"/>
      <c r="R349" s="18"/>
      <c r="S349" s="18"/>
      <c r="T349" s="18"/>
      <c r="U349" s="18"/>
      <c r="V349" s="18"/>
      <c r="W349" s="18"/>
      <c r="X349" s="18"/>
      <c r="Y349" s="18"/>
      <c r="Z349" s="18"/>
      <c r="AA349" s="18"/>
      <c r="AB349" s="18"/>
    </row>
    <row r="350" spans="1:28" ht="12.5" customHeight="1">
      <c r="A350" s="23">
        <v>349</v>
      </c>
      <c r="B350" s="23" t="s">
        <v>1774</v>
      </c>
      <c r="C350" s="23" t="s">
        <v>1690</v>
      </c>
      <c r="D350" s="23"/>
      <c r="E350" s="23" t="s">
        <v>1775</v>
      </c>
      <c r="F350" s="23" t="s">
        <v>1776</v>
      </c>
      <c r="G350" s="23">
        <v>2006</v>
      </c>
      <c r="H350" s="23" t="s">
        <v>1777</v>
      </c>
      <c r="I350" s="23" t="str">
        <f t="shared" si="2"/>
        <v>Early</v>
      </c>
      <c r="J350" s="23" t="str">
        <f t="shared" si="3"/>
        <v>No</v>
      </c>
      <c r="K350" s="23"/>
      <c r="L350" s="23"/>
      <c r="M350" s="23"/>
      <c r="N350" s="23"/>
      <c r="O350" s="23"/>
      <c r="P350" s="23"/>
      <c r="Q350" s="23"/>
      <c r="R350" s="23"/>
      <c r="S350" s="23"/>
      <c r="T350" s="23"/>
      <c r="U350" s="23"/>
      <c r="V350" s="23"/>
      <c r="W350" s="23"/>
      <c r="X350" s="23"/>
      <c r="Y350" s="23"/>
      <c r="Z350" s="23"/>
      <c r="AA350" s="23"/>
      <c r="AB350" s="23"/>
    </row>
    <row r="351" spans="1:28" ht="12.5" customHeight="1">
      <c r="A351" s="19">
        <v>350</v>
      </c>
      <c r="B351" s="48" t="s">
        <v>1778</v>
      </c>
      <c r="C351" s="48" t="s">
        <v>1690</v>
      </c>
      <c r="D351" s="49" t="s">
        <v>1779</v>
      </c>
      <c r="E351" s="48" t="s">
        <v>1780</v>
      </c>
      <c r="F351" s="48" t="s">
        <v>1781</v>
      </c>
      <c r="G351" s="48">
        <v>2015</v>
      </c>
      <c r="H351" s="48" t="s">
        <v>1782</v>
      </c>
      <c r="I351" s="48" t="str">
        <f t="shared" si="2"/>
        <v>Middle</v>
      </c>
      <c r="J351" s="48" t="str">
        <f t="shared" si="3"/>
        <v>Yes</v>
      </c>
      <c r="K351" s="48"/>
      <c r="L351" s="48"/>
      <c r="M351" s="18"/>
      <c r="N351" s="18"/>
      <c r="O351" s="18"/>
      <c r="P351" s="18"/>
      <c r="Q351" s="18"/>
      <c r="R351" s="18"/>
      <c r="S351" s="18"/>
      <c r="T351" s="18"/>
      <c r="U351" s="18"/>
      <c r="V351" s="18"/>
      <c r="W351" s="18"/>
      <c r="X351" s="18"/>
      <c r="Y351" s="18"/>
      <c r="Z351" s="18"/>
      <c r="AA351" s="18"/>
      <c r="AB351" s="18"/>
    </row>
    <row r="352" spans="1:28" ht="12.5" customHeight="1">
      <c r="A352" s="19">
        <v>351</v>
      </c>
      <c r="B352" s="48" t="s">
        <v>1783</v>
      </c>
      <c r="C352" s="48" t="s">
        <v>1690</v>
      </c>
      <c r="D352" s="49" t="s">
        <v>1784</v>
      </c>
      <c r="E352" s="48" t="s">
        <v>1785</v>
      </c>
      <c r="F352" s="48" t="s">
        <v>1786</v>
      </c>
      <c r="G352" s="48">
        <v>1999</v>
      </c>
      <c r="H352" s="48" t="s">
        <v>1787</v>
      </c>
      <c r="I352" s="48" t="str">
        <f t="shared" si="2"/>
        <v>Early</v>
      </c>
      <c r="J352" s="48" t="str">
        <f t="shared" si="3"/>
        <v>Yes</v>
      </c>
      <c r="K352" s="48"/>
      <c r="L352" s="48"/>
      <c r="M352" s="18"/>
      <c r="N352" s="18"/>
      <c r="O352" s="18"/>
      <c r="P352" s="18"/>
      <c r="Q352" s="18"/>
      <c r="R352" s="18"/>
      <c r="S352" s="18"/>
      <c r="T352" s="18"/>
      <c r="U352" s="18"/>
      <c r="V352" s="18"/>
      <c r="W352" s="18"/>
      <c r="X352" s="18"/>
      <c r="Y352" s="18"/>
      <c r="Z352" s="18"/>
      <c r="AA352" s="18"/>
      <c r="AB352" s="18"/>
    </row>
    <row r="353" spans="1:28" ht="12.5" customHeight="1">
      <c r="A353" s="19">
        <v>352</v>
      </c>
      <c r="B353" s="48" t="s">
        <v>1788</v>
      </c>
      <c r="C353" s="48" t="s">
        <v>1690</v>
      </c>
      <c r="D353" s="49" t="s">
        <v>1789</v>
      </c>
      <c r="E353" s="48" t="s">
        <v>1790</v>
      </c>
      <c r="F353" s="48" t="s">
        <v>1791</v>
      </c>
      <c r="G353" s="48">
        <v>2000</v>
      </c>
      <c r="H353" s="48" t="s">
        <v>1723</v>
      </c>
      <c r="I353" s="48" t="str">
        <f t="shared" si="2"/>
        <v>Early</v>
      </c>
      <c r="J353" s="48" t="str">
        <f t="shared" si="3"/>
        <v>Yes</v>
      </c>
      <c r="K353" s="48"/>
      <c r="L353" s="48"/>
      <c r="M353" s="18"/>
      <c r="N353" s="18"/>
      <c r="O353" s="18"/>
      <c r="P353" s="18"/>
      <c r="Q353" s="18"/>
      <c r="R353" s="18"/>
      <c r="S353" s="18"/>
      <c r="T353" s="18"/>
      <c r="U353" s="18"/>
      <c r="V353" s="18"/>
      <c r="W353" s="18"/>
      <c r="X353" s="18"/>
      <c r="Y353" s="18"/>
      <c r="Z353" s="18"/>
      <c r="AA353" s="18"/>
      <c r="AB353" s="18"/>
    </row>
    <row r="354" spans="1:28" ht="12.5" customHeight="1">
      <c r="A354" s="23">
        <v>353</v>
      </c>
      <c r="B354" s="23" t="s">
        <v>1792</v>
      </c>
      <c r="C354" s="23" t="s">
        <v>1690</v>
      </c>
      <c r="D354" s="23"/>
      <c r="E354" s="23" t="s">
        <v>1793</v>
      </c>
      <c r="F354" s="23" t="s">
        <v>1794</v>
      </c>
      <c r="G354" s="23">
        <v>2014</v>
      </c>
      <c r="H354" s="23" t="s">
        <v>1795</v>
      </c>
      <c r="I354" s="23" t="str">
        <f t="shared" si="2"/>
        <v>Middle</v>
      </c>
      <c r="J354" s="23" t="str">
        <f t="shared" si="3"/>
        <v>No</v>
      </c>
      <c r="K354" s="23"/>
      <c r="L354" s="23"/>
      <c r="M354" s="23"/>
      <c r="N354" s="23"/>
      <c r="O354" s="23"/>
      <c r="P354" s="23"/>
      <c r="Q354" s="23"/>
      <c r="R354" s="23"/>
      <c r="S354" s="23"/>
      <c r="T354" s="23"/>
      <c r="U354" s="23"/>
      <c r="V354" s="23"/>
      <c r="W354" s="23"/>
      <c r="X354" s="23"/>
      <c r="Y354" s="23"/>
      <c r="Z354" s="23"/>
      <c r="AA354" s="23"/>
      <c r="AB354" s="23"/>
    </row>
    <row r="355" spans="1:28" ht="12.5" customHeight="1">
      <c r="A355" s="19">
        <v>354</v>
      </c>
      <c r="B355" s="48" t="s">
        <v>1796</v>
      </c>
      <c r="C355" s="48" t="s">
        <v>1690</v>
      </c>
      <c r="D355" s="25" t="s">
        <v>1797</v>
      </c>
      <c r="E355" s="48" t="s">
        <v>1798</v>
      </c>
      <c r="F355" s="48" t="s">
        <v>1799</v>
      </c>
      <c r="G355" s="48">
        <v>2020</v>
      </c>
      <c r="H355" s="48" t="s">
        <v>1800</v>
      </c>
      <c r="I355" s="48" t="str">
        <f t="shared" si="2"/>
        <v>Recent</v>
      </c>
      <c r="J355" s="48" t="str">
        <f t="shared" si="3"/>
        <v>Yes</v>
      </c>
      <c r="K355" s="48"/>
      <c r="L355" s="48"/>
      <c r="M355" s="18"/>
      <c r="N355" s="18"/>
      <c r="O355" s="18"/>
      <c r="P355" s="18"/>
      <c r="Q355" s="18"/>
      <c r="R355" s="18"/>
      <c r="S355" s="18"/>
      <c r="T355" s="18"/>
      <c r="U355" s="18"/>
      <c r="V355" s="18"/>
      <c r="W355" s="18"/>
      <c r="X355" s="18"/>
      <c r="Y355" s="18"/>
      <c r="Z355" s="18"/>
      <c r="AA355" s="18"/>
      <c r="AB355" s="18"/>
    </row>
    <row r="356" spans="1:28" ht="12.5" customHeight="1">
      <c r="A356" s="23">
        <v>355</v>
      </c>
      <c r="B356" s="23" t="s">
        <v>1801</v>
      </c>
      <c r="C356" s="23" t="s">
        <v>1690</v>
      </c>
      <c r="D356" s="50"/>
      <c r="E356" s="23" t="s">
        <v>1802</v>
      </c>
      <c r="F356" s="23" t="s">
        <v>1803</v>
      </c>
      <c r="G356" s="23">
        <v>2016</v>
      </c>
      <c r="H356" s="23" t="s">
        <v>1804</v>
      </c>
      <c r="I356" s="23" t="str">
        <f t="shared" si="2"/>
        <v>Middle</v>
      </c>
      <c r="J356" s="23" t="str">
        <f t="shared" si="3"/>
        <v>No</v>
      </c>
      <c r="K356" s="23"/>
      <c r="L356" s="23"/>
      <c r="M356" s="23"/>
      <c r="N356" s="23"/>
      <c r="O356" s="23"/>
      <c r="P356" s="23"/>
      <c r="Q356" s="23"/>
      <c r="R356" s="23"/>
      <c r="S356" s="23"/>
      <c r="T356" s="23"/>
      <c r="U356" s="23"/>
      <c r="V356" s="23"/>
      <c r="W356" s="23"/>
      <c r="X356" s="23"/>
      <c r="Y356" s="23"/>
      <c r="Z356" s="23"/>
      <c r="AA356" s="23"/>
      <c r="AB356" s="23"/>
    </row>
    <row r="357" spans="1:28" ht="12.5" customHeight="1">
      <c r="A357" s="23">
        <v>356</v>
      </c>
      <c r="B357" s="23" t="s">
        <v>1805</v>
      </c>
      <c r="C357" s="23" t="s">
        <v>1690</v>
      </c>
      <c r="D357" s="23"/>
      <c r="E357" s="23" t="s">
        <v>1806</v>
      </c>
      <c r="F357" s="23" t="s">
        <v>1807</v>
      </c>
      <c r="G357" s="23">
        <v>1991</v>
      </c>
      <c r="H357" s="23" t="s">
        <v>1808</v>
      </c>
      <c r="I357" s="23" t="str">
        <f t="shared" si="2"/>
        <v>Early</v>
      </c>
      <c r="J357" s="23" t="str">
        <f t="shared" si="3"/>
        <v>No</v>
      </c>
      <c r="K357" s="23"/>
      <c r="L357" s="23"/>
      <c r="M357" s="23"/>
      <c r="N357" s="23"/>
      <c r="O357" s="23"/>
      <c r="P357" s="23"/>
      <c r="Q357" s="23"/>
      <c r="R357" s="23"/>
      <c r="S357" s="23"/>
      <c r="T357" s="23"/>
      <c r="U357" s="23"/>
      <c r="V357" s="23"/>
      <c r="W357" s="23"/>
      <c r="X357" s="23"/>
      <c r="Y357" s="23"/>
      <c r="Z357" s="23"/>
      <c r="AA357" s="23"/>
      <c r="AB357" s="23"/>
    </row>
    <row r="358" spans="1:28" ht="12.5" customHeight="1">
      <c r="A358" s="19">
        <v>357</v>
      </c>
      <c r="B358" s="48" t="s">
        <v>1809</v>
      </c>
      <c r="C358" s="48" t="s">
        <v>1690</v>
      </c>
      <c r="D358" s="49" t="s">
        <v>1810</v>
      </c>
      <c r="E358" s="48" t="s">
        <v>1811</v>
      </c>
      <c r="F358" s="48" t="s">
        <v>1812</v>
      </c>
      <c r="G358" s="48">
        <v>2006</v>
      </c>
      <c r="H358" s="48" t="s">
        <v>1813</v>
      </c>
      <c r="I358" s="48" t="str">
        <f t="shared" si="2"/>
        <v>Early</v>
      </c>
      <c r="J358" s="48" t="str">
        <f t="shared" si="3"/>
        <v>Yes</v>
      </c>
      <c r="K358" s="48"/>
      <c r="L358" s="48"/>
      <c r="M358" s="18"/>
      <c r="N358" s="18"/>
      <c r="O358" s="18"/>
      <c r="P358" s="18"/>
      <c r="Q358" s="18"/>
      <c r="R358" s="18"/>
      <c r="S358" s="18"/>
      <c r="T358" s="18"/>
      <c r="U358" s="18"/>
      <c r="V358" s="18"/>
      <c r="W358" s="18"/>
      <c r="X358" s="18"/>
      <c r="Y358" s="18"/>
      <c r="Z358" s="18"/>
      <c r="AA358" s="18"/>
      <c r="AB358" s="18"/>
    </row>
    <row r="359" spans="1:28" ht="12.5" customHeight="1">
      <c r="A359" s="19">
        <v>358</v>
      </c>
      <c r="B359" s="48" t="s">
        <v>1814</v>
      </c>
      <c r="C359" s="48" t="s">
        <v>1690</v>
      </c>
      <c r="D359" s="49" t="s">
        <v>1815</v>
      </c>
      <c r="E359" s="48" t="s">
        <v>1816</v>
      </c>
      <c r="F359" s="48" t="s">
        <v>1812</v>
      </c>
      <c r="G359" s="48">
        <v>2007</v>
      </c>
      <c r="H359" s="48" t="s">
        <v>1817</v>
      </c>
      <c r="I359" s="48" t="str">
        <f t="shared" si="2"/>
        <v>Early</v>
      </c>
      <c r="J359" s="48" t="str">
        <f t="shared" si="3"/>
        <v>Yes</v>
      </c>
      <c r="K359" s="48"/>
      <c r="L359" s="48"/>
      <c r="M359" s="18"/>
      <c r="N359" s="18"/>
      <c r="O359" s="18"/>
      <c r="P359" s="18"/>
      <c r="Q359" s="18"/>
      <c r="R359" s="18"/>
      <c r="S359" s="18"/>
      <c r="T359" s="18"/>
      <c r="U359" s="18"/>
      <c r="V359" s="18"/>
      <c r="W359" s="18"/>
      <c r="X359" s="18"/>
      <c r="Y359" s="18"/>
      <c r="Z359" s="18"/>
      <c r="AA359" s="18"/>
      <c r="AB359" s="18"/>
    </row>
    <row r="360" spans="1:28" ht="12.5" customHeight="1">
      <c r="A360" s="19">
        <v>359</v>
      </c>
      <c r="B360" s="48" t="s">
        <v>1818</v>
      </c>
      <c r="C360" s="48" t="s">
        <v>1690</v>
      </c>
      <c r="D360" s="49" t="s">
        <v>1819</v>
      </c>
      <c r="E360" s="48" t="s">
        <v>1820</v>
      </c>
      <c r="F360" s="48" t="s">
        <v>1821</v>
      </c>
      <c r="G360" s="48">
        <v>2014</v>
      </c>
      <c r="H360" s="48" t="s">
        <v>1822</v>
      </c>
      <c r="I360" s="48" t="str">
        <f t="shared" si="2"/>
        <v>Middle</v>
      </c>
      <c r="J360" s="48" t="str">
        <f t="shared" si="3"/>
        <v>Yes</v>
      </c>
      <c r="K360" s="48"/>
      <c r="L360" s="48"/>
      <c r="M360" s="18"/>
      <c r="N360" s="18"/>
      <c r="O360" s="18"/>
      <c r="P360" s="18"/>
      <c r="Q360" s="18"/>
      <c r="R360" s="18"/>
      <c r="S360" s="18"/>
      <c r="T360" s="18"/>
      <c r="U360" s="18"/>
      <c r="V360" s="18"/>
      <c r="W360" s="18"/>
      <c r="X360" s="18"/>
      <c r="Y360" s="18"/>
      <c r="Z360" s="18"/>
      <c r="AA360" s="18"/>
      <c r="AB360" s="18"/>
    </row>
    <row r="361" spans="1:28" ht="12.5" customHeight="1">
      <c r="A361" s="19">
        <v>360</v>
      </c>
      <c r="B361" s="48" t="s">
        <v>1823</v>
      </c>
      <c r="C361" s="48" t="s">
        <v>1690</v>
      </c>
      <c r="D361" s="49" t="s">
        <v>1824</v>
      </c>
      <c r="E361" s="48" t="s">
        <v>1825</v>
      </c>
      <c r="F361" s="48" t="s">
        <v>1826</v>
      </c>
      <c r="G361" s="48">
        <v>1994</v>
      </c>
      <c r="H361" s="48" t="s">
        <v>1827</v>
      </c>
      <c r="I361" s="48" t="str">
        <f t="shared" si="2"/>
        <v>Early</v>
      </c>
      <c r="J361" s="48" t="str">
        <f t="shared" si="3"/>
        <v>Yes</v>
      </c>
      <c r="K361" s="48"/>
      <c r="L361" s="48"/>
      <c r="M361" s="18"/>
      <c r="N361" s="18"/>
      <c r="O361" s="18"/>
      <c r="P361" s="18"/>
      <c r="Q361" s="18"/>
      <c r="R361" s="18"/>
      <c r="S361" s="18"/>
      <c r="T361" s="18"/>
      <c r="U361" s="18"/>
      <c r="V361" s="18"/>
      <c r="W361" s="18"/>
      <c r="X361" s="18"/>
      <c r="Y361" s="18"/>
      <c r="Z361" s="18"/>
      <c r="AA361" s="18"/>
      <c r="AB361" s="18"/>
    </row>
    <row r="362" spans="1:28" ht="12.5" customHeight="1">
      <c r="A362" s="19">
        <v>361</v>
      </c>
      <c r="B362" s="48" t="s">
        <v>1828</v>
      </c>
      <c r="C362" s="48" t="s">
        <v>1690</v>
      </c>
      <c r="D362" s="49" t="s">
        <v>1829</v>
      </c>
      <c r="E362" s="48" t="s">
        <v>1830</v>
      </c>
      <c r="F362" s="48" t="s">
        <v>1826</v>
      </c>
      <c r="G362" s="48">
        <v>2005</v>
      </c>
      <c r="H362" s="48" t="s">
        <v>1831</v>
      </c>
      <c r="I362" s="48" t="str">
        <f t="shared" si="2"/>
        <v>Early</v>
      </c>
      <c r="J362" s="48" t="str">
        <f t="shared" si="3"/>
        <v>Yes</v>
      </c>
      <c r="K362" s="48"/>
      <c r="L362" s="48"/>
      <c r="M362" s="18"/>
      <c r="N362" s="18"/>
      <c r="O362" s="18"/>
      <c r="P362" s="18"/>
      <c r="Q362" s="18"/>
      <c r="R362" s="18"/>
      <c r="S362" s="18"/>
      <c r="T362" s="18"/>
      <c r="U362" s="18"/>
      <c r="V362" s="18"/>
      <c r="W362" s="18"/>
      <c r="X362" s="18"/>
      <c r="Y362" s="18"/>
      <c r="Z362" s="18"/>
      <c r="AA362" s="18"/>
      <c r="AB362" s="18"/>
    </row>
    <row r="363" spans="1:28" ht="12.5" customHeight="1">
      <c r="A363" s="19">
        <v>362</v>
      </c>
      <c r="B363" s="48" t="s">
        <v>1832</v>
      </c>
      <c r="C363" s="48" t="s">
        <v>1690</v>
      </c>
      <c r="D363" s="49" t="s">
        <v>1833</v>
      </c>
      <c r="E363" s="48" t="s">
        <v>1834</v>
      </c>
      <c r="F363" s="48" t="s">
        <v>1835</v>
      </c>
      <c r="G363" s="48">
        <v>1998</v>
      </c>
      <c r="H363" s="48" t="s">
        <v>1817</v>
      </c>
      <c r="I363" s="48" t="str">
        <f t="shared" si="2"/>
        <v>Early</v>
      </c>
      <c r="J363" s="48" t="str">
        <f t="shared" si="3"/>
        <v>Yes</v>
      </c>
      <c r="K363" s="48"/>
      <c r="L363" s="48"/>
      <c r="M363" s="18"/>
      <c r="N363" s="18"/>
      <c r="O363" s="18"/>
      <c r="P363" s="18"/>
      <c r="Q363" s="18"/>
      <c r="R363" s="18"/>
      <c r="S363" s="18"/>
      <c r="T363" s="18"/>
      <c r="U363" s="18"/>
      <c r="V363" s="18"/>
      <c r="W363" s="18"/>
      <c r="X363" s="18"/>
      <c r="Y363" s="18"/>
      <c r="Z363" s="18"/>
      <c r="AA363" s="18"/>
      <c r="AB363" s="18"/>
    </row>
    <row r="364" spans="1:28" ht="12.5" customHeight="1">
      <c r="A364" s="19">
        <v>363</v>
      </c>
      <c r="B364" s="48" t="s">
        <v>1836</v>
      </c>
      <c r="C364" s="48" t="s">
        <v>1690</v>
      </c>
      <c r="D364" s="25" t="s">
        <v>1837</v>
      </c>
      <c r="E364" s="48" t="s">
        <v>1838</v>
      </c>
      <c r="F364" s="48" t="s">
        <v>1839</v>
      </c>
      <c r="G364" s="48">
        <v>1989</v>
      </c>
      <c r="H364" s="48" t="s">
        <v>454</v>
      </c>
      <c r="I364" s="48" t="str">
        <f t="shared" si="2"/>
        <v>Early</v>
      </c>
      <c r="J364" s="48" t="str">
        <f t="shared" si="3"/>
        <v>Yes</v>
      </c>
      <c r="K364" s="48"/>
      <c r="L364" s="48"/>
      <c r="M364" s="18"/>
      <c r="N364" s="18"/>
      <c r="O364" s="18"/>
      <c r="P364" s="18"/>
      <c r="Q364" s="18"/>
      <c r="R364" s="18"/>
      <c r="S364" s="18"/>
      <c r="T364" s="18"/>
      <c r="U364" s="18"/>
      <c r="V364" s="18"/>
      <c r="W364" s="18"/>
      <c r="X364" s="18"/>
      <c r="Y364" s="18"/>
      <c r="Z364" s="18"/>
      <c r="AA364" s="18"/>
      <c r="AB364" s="18"/>
    </row>
    <row r="365" spans="1:28" ht="12.5" customHeight="1">
      <c r="A365" s="19">
        <v>364</v>
      </c>
      <c r="B365" s="48" t="s">
        <v>1840</v>
      </c>
      <c r="C365" s="48" t="s">
        <v>1690</v>
      </c>
      <c r="D365" s="49" t="s">
        <v>1841</v>
      </c>
      <c r="E365" s="48" t="s">
        <v>1842</v>
      </c>
      <c r="F365" s="48" t="s">
        <v>1843</v>
      </c>
      <c r="G365" s="48">
        <v>2000</v>
      </c>
      <c r="H365" s="48" t="s">
        <v>1844</v>
      </c>
      <c r="I365" s="48" t="str">
        <f t="shared" si="2"/>
        <v>Early</v>
      </c>
      <c r="J365" s="48" t="str">
        <f t="shared" si="3"/>
        <v>Yes</v>
      </c>
      <c r="K365" s="48"/>
      <c r="L365" s="48"/>
      <c r="M365" s="18"/>
      <c r="N365" s="18"/>
      <c r="O365" s="18"/>
      <c r="P365" s="18"/>
      <c r="Q365" s="18"/>
      <c r="R365" s="18"/>
      <c r="S365" s="18"/>
      <c r="T365" s="18"/>
      <c r="U365" s="18"/>
      <c r="V365" s="18"/>
      <c r="W365" s="18"/>
      <c r="X365" s="18"/>
      <c r="Y365" s="18"/>
      <c r="Z365" s="18"/>
      <c r="AA365" s="18"/>
      <c r="AB365" s="18"/>
    </row>
    <row r="366" spans="1:28" ht="12.5" customHeight="1">
      <c r="A366" s="19">
        <v>365</v>
      </c>
      <c r="B366" s="48" t="s">
        <v>1845</v>
      </c>
      <c r="C366" s="48" t="s">
        <v>1690</v>
      </c>
      <c r="D366" s="51" t="s">
        <v>1846</v>
      </c>
      <c r="E366" s="48" t="s">
        <v>1847</v>
      </c>
      <c r="F366" s="48" t="s">
        <v>1848</v>
      </c>
      <c r="G366" s="48">
        <v>2019</v>
      </c>
      <c r="H366" s="48" t="s">
        <v>1787</v>
      </c>
      <c r="I366" s="48" t="str">
        <f t="shared" si="2"/>
        <v>Recent</v>
      </c>
      <c r="J366" s="48" t="str">
        <f t="shared" si="3"/>
        <v>Yes</v>
      </c>
      <c r="K366" s="48"/>
      <c r="L366" s="48"/>
      <c r="M366" s="18"/>
      <c r="N366" s="18"/>
      <c r="O366" s="18"/>
      <c r="P366" s="18"/>
      <c r="Q366" s="18"/>
      <c r="R366" s="18"/>
      <c r="S366" s="18"/>
      <c r="T366" s="18"/>
      <c r="U366" s="18"/>
      <c r="V366" s="18"/>
      <c r="W366" s="18"/>
      <c r="X366" s="18"/>
      <c r="Y366" s="18"/>
      <c r="Z366" s="18"/>
      <c r="AA366" s="18"/>
      <c r="AB366" s="18"/>
    </row>
    <row r="367" spans="1:28" ht="12.5" customHeight="1">
      <c r="A367" s="23">
        <v>366</v>
      </c>
      <c r="B367" s="23" t="s">
        <v>1849</v>
      </c>
      <c r="C367" s="23" t="s">
        <v>1690</v>
      </c>
      <c r="D367" s="52"/>
      <c r="E367" s="23" t="s">
        <v>1850</v>
      </c>
      <c r="F367" s="23" t="s">
        <v>1851</v>
      </c>
      <c r="G367" s="23">
        <v>1994</v>
      </c>
      <c r="H367" s="23" t="s">
        <v>1708</v>
      </c>
      <c r="I367" s="23" t="str">
        <f t="shared" si="2"/>
        <v>Early</v>
      </c>
      <c r="J367" s="23" t="str">
        <f t="shared" si="3"/>
        <v>No</v>
      </c>
      <c r="K367" s="23"/>
      <c r="L367" s="23"/>
      <c r="M367" s="23"/>
      <c r="N367" s="23"/>
      <c r="O367" s="23"/>
      <c r="P367" s="23"/>
      <c r="Q367" s="23"/>
      <c r="R367" s="23"/>
      <c r="S367" s="23"/>
      <c r="T367" s="23"/>
      <c r="U367" s="23"/>
      <c r="V367" s="23"/>
      <c r="W367" s="23"/>
      <c r="X367" s="23"/>
      <c r="Y367" s="23"/>
      <c r="Z367" s="23"/>
      <c r="AA367" s="23"/>
      <c r="AB367" s="23"/>
    </row>
    <row r="368" spans="1:28" ht="12.5" customHeight="1">
      <c r="A368" s="19">
        <v>367</v>
      </c>
      <c r="B368" s="48" t="s">
        <v>1852</v>
      </c>
      <c r="C368" s="48" t="s">
        <v>1690</v>
      </c>
      <c r="D368" s="49" t="s">
        <v>1853</v>
      </c>
      <c r="E368" s="48" t="s">
        <v>1854</v>
      </c>
      <c r="F368" s="48" t="s">
        <v>1855</v>
      </c>
      <c r="G368" s="48">
        <v>2014</v>
      </c>
      <c r="H368" s="48" t="s">
        <v>1856</v>
      </c>
      <c r="I368" s="48" t="str">
        <f t="shared" si="2"/>
        <v>Middle</v>
      </c>
      <c r="J368" s="48" t="str">
        <f t="shared" si="3"/>
        <v>Yes</v>
      </c>
      <c r="K368" s="48"/>
      <c r="L368" s="48"/>
      <c r="M368" s="18"/>
      <c r="N368" s="18"/>
      <c r="O368" s="18"/>
      <c r="P368" s="18"/>
      <c r="Q368" s="18"/>
      <c r="R368" s="18"/>
      <c r="S368" s="18"/>
      <c r="T368" s="18"/>
      <c r="U368" s="18"/>
      <c r="V368" s="18"/>
      <c r="W368" s="18"/>
      <c r="X368" s="18"/>
      <c r="Y368" s="18"/>
      <c r="Z368" s="18"/>
      <c r="AA368" s="18"/>
      <c r="AB368" s="18"/>
    </row>
    <row r="369" spans="1:28" ht="12.5" customHeight="1">
      <c r="A369" s="19">
        <v>368</v>
      </c>
      <c r="B369" s="48" t="s">
        <v>1857</v>
      </c>
      <c r="C369" s="48" t="s">
        <v>1690</v>
      </c>
      <c r="D369" s="49" t="s">
        <v>1858</v>
      </c>
      <c r="E369" s="48" t="s">
        <v>1859</v>
      </c>
      <c r="F369" s="48" t="s">
        <v>1855</v>
      </c>
      <c r="G369" s="48">
        <v>2017</v>
      </c>
      <c r="H369" s="48" t="s">
        <v>1860</v>
      </c>
      <c r="I369" s="48" t="str">
        <f t="shared" si="2"/>
        <v>Middle</v>
      </c>
      <c r="J369" s="48" t="str">
        <f t="shared" si="3"/>
        <v>Yes</v>
      </c>
      <c r="K369" s="48"/>
      <c r="L369" s="48"/>
      <c r="M369" s="18"/>
      <c r="N369" s="18"/>
      <c r="O369" s="18"/>
      <c r="P369" s="18"/>
      <c r="Q369" s="18"/>
      <c r="R369" s="18"/>
      <c r="S369" s="18"/>
      <c r="T369" s="18"/>
      <c r="U369" s="18"/>
      <c r="V369" s="18"/>
      <c r="W369" s="18"/>
      <c r="X369" s="18"/>
      <c r="Y369" s="18"/>
      <c r="Z369" s="18"/>
      <c r="AA369" s="18"/>
      <c r="AB369" s="18"/>
    </row>
    <row r="370" spans="1:28" ht="12.5" customHeight="1">
      <c r="A370" s="19">
        <v>369</v>
      </c>
      <c r="B370" s="48" t="s">
        <v>1861</v>
      </c>
      <c r="C370" s="48" t="s">
        <v>1690</v>
      </c>
      <c r="D370" s="49" t="s">
        <v>1862</v>
      </c>
      <c r="E370" s="48" t="s">
        <v>1863</v>
      </c>
      <c r="F370" s="48" t="s">
        <v>1864</v>
      </c>
      <c r="G370" s="48">
        <v>2019</v>
      </c>
      <c r="H370" s="48" t="s">
        <v>1787</v>
      </c>
      <c r="I370" s="48" t="str">
        <f t="shared" si="2"/>
        <v>Recent</v>
      </c>
      <c r="J370" s="48" t="str">
        <f t="shared" si="3"/>
        <v>Yes</v>
      </c>
      <c r="K370" s="48"/>
      <c r="L370" s="48"/>
      <c r="M370" s="18"/>
      <c r="N370" s="18"/>
      <c r="O370" s="18"/>
      <c r="P370" s="18"/>
      <c r="Q370" s="18"/>
      <c r="R370" s="18"/>
      <c r="S370" s="18"/>
      <c r="T370" s="18"/>
      <c r="U370" s="18"/>
      <c r="V370" s="18"/>
      <c r="W370" s="18"/>
      <c r="X370" s="18"/>
      <c r="Y370" s="18"/>
      <c r="Z370" s="18"/>
      <c r="AA370" s="18"/>
      <c r="AB370" s="18"/>
    </row>
    <row r="371" spans="1:28" ht="12.5" customHeight="1">
      <c r="A371" s="19">
        <v>370</v>
      </c>
      <c r="B371" s="48" t="s">
        <v>1865</v>
      </c>
      <c r="C371" s="48" t="s">
        <v>1690</v>
      </c>
      <c r="D371" s="49" t="s">
        <v>1866</v>
      </c>
      <c r="E371" s="48" t="s">
        <v>1867</v>
      </c>
      <c r="F371" s="48" t="s">
        <v>1868</v>
      </c>
      <c r="G371" s="48">
        <v>2019</v>
      </c>
      <c r="H371" s="48" t="s">
        <v>1869</v>
      </c>
      <c r="I371" s="48" t="str">
        <f t="shared" si="2"/>
        <v>Recent</v>
      </c>
      <c r="J371" s="48" t="str">
        <f t="shared" si="3"/>
        <v>Yes</v>
      </c>
      <c r="K371" s="48"/>
      <c r="L371" s="48"/>
      <c r="M371" s="18"/>
      <c r="N371" s="18"/>
      <c r="O371" s="18"/>
      <c r="P371" s="18"/>
      <c r="Q371" s="18"/>
      <c r="R371" s="18"/>
      <c r="S371" s="18"/>
      <c r="T371" s="18"/>
      <c r="U371" s="18"/>
      <c r="V371" s="18"/>
      <c r="W371" s="18"/>
      <c r="X371" s="18"/>
      <c r="Y371" s="18"/>
      <c r="Z371" s="18"/>
      <c r="AA371" s="18"/>
      <c r="AB371" s="18"/>
    </row>
    <row r="372" spans="1:28" ht="12.5" customHeight="1">
      <c r="A372" s="23">
        <v>371</v>
      </c>
      <c r="B372" s="23" t="s">
        <v>1870</v>
      </c>
      <c r="C372" s="23" t="s">
        <v>1690</v>
      </c>
      <c r="D372" s="23"/>
      <c r="E372" s="23" t="s">
        <v>1871</v>
      </c>
      <c r="F372" s="23" t="s">
        <v>1872</v>
      </c>
      <c r="G372" s="23">
        <v>2010</v>
      </c>
      <c r="H372" s="23" t="s">
        <v>1873</v>
      </c>
      <c r="I372" s="23" t="str">
        <f t="shared" si="2"/>
        <v>Middle</v>
      </c>
      <c r="J372" s="23" t="str">
        <f t="shared" si="3"/>
        <v>No</v>
      </c>
      <c r="K372" s="23"/>
      <c r="L372" s="23"/>
      <c r="M372" s="23"/>
      <c r="N372" s="23"/>
      <c r="O372" s="23"/>
      <c r="P372" s="23"/>
      <c r="Q372" s="23"/>
      <c r="R372" s="23"/>
      <c r="S372" s="23"/>
      <c r="T372" s="23"/>
      <c r="U372" s="23"/>
      <c r="V372" s="23"/>
      <c r="W372" s="23"/>
      <c r="X372" s="23"/>
      <c r="Y372" s="23"/>
      <c r="Z372" s="23"/>
      <c r="AA372" s="23"/>
      <c r="AB372" s="23"/>
    </row>
    <row r="373" spans="1:28" ht="12.5" customHeight="1">
      <c r="A373" s="19">
        <v>372</v>
      </c>
      <c r="B373" s="48" t="s">
        <v>1874</v>
      </c>
      <c r="C373" s="48" t="s">
        <v>1690</v>
      </c>
      <c r="D373" s="49" t="s">
        <v>1875</v>
      </c>
      <c r="E373" s="48" t="s">
        <v>1876</v>
      </c>
      <c r="F373" s="48" t="s">
        <v>1877</v>
      </c>
      <c r="G373" s="48">
        <v>2010</v>
      </c>
      <c r="H373" s="48" t="s">
        <v>1878</v>
      </c>
      <c r="I373" s="48" t="str">
        <f t="shared" si="2"/>
        <v>Middle</v>
      </c>
      <c r="J373" s="48" t="str">
        <f t="shared" si="3"/>
        <v>Yes</v>
      </c>
      <c r="K373" s="48"/>
      <c r="L373" s="48"/>
      <c r="M373" s="18"/>
      <c r="N373" s="18"/>
      <c r="O373" s="18"/>
      <c r="P373" s="18"/>
      <c r="Q373" s="18"/>
      <c r="R373" s="18"/>
      <c r="S373" s="18"/>
      <c r="T373" s="18"/>
      <c r="U373" s="18"/>
      <c r="V373" s="18"/>
      <c r="W373" s="18"/>
      <c r="X373" s="18"/>
      <c r="Y373" s="18"/>
      <c r="Z373" s="18"/>
      <c r="AA373" s="18"/>
      <c r="AB373" s="18"/>
    </row>
    <row r="374" spans="1:28" ht="12.5" customHeight="1">
      <c r="A374" s="19">
        <v>373</v>
      </c>
      <c r="B374" s="48" t="s">
        <v>1879</v>
      </c>
      <c r="C374" s="48" t="s">
        <v>1690</v>
      </c>
      <c r="D374" s="49" t="s">
        <v>1880</v>
      </c>
      <c r="E374" s="48" t="s">
        <v>1881</v>
      </c>
      <c r="F374" s="48" t="s">
        <v>1882</v>
      </c>
      <c r="G374" s="48">
        <v>2000</v>
      </c>
      <c r="H374" s="48" t="s">
        <v>1735</v>
      </c>
      <c r="I374" s="48" t="str">
        <f t="shared" si="2"/>
        <v>Early</v>
      </c>
      <c r="J374" s="48" t="str">
        <f t="shared" si="3"/>
        <v>Yes</v>
      </c>
      <c r="K374" s="48"/>
      <c r="L374" s="48"/>
      <c r="M374" s="18"/>
      <c r="N374" s="18"/>
      <c r="O374" s="18"/>
      <c r="P374" s="18"/>
      <c r="Q374" s="18"/>
      <c r="R374" s="18"/>
      <c r="S374" s="18"/>
      <c r="T374" s="18"/>
      <c r="U374" s="18"/>
      <c r="V374" s="18"/>
      <c r="W374" s="18"/>
      <c r="X374" s="18"/>
      <c r="Y374" s="18"/>
      <c r="Z374" s="18"/>
      <c r="AA374" s="18"/>
      <c r="AB374" s="18"/>
    </row>
    <row r="375" spans="1:28" ht="12.5" customHeight="1">
      <c r="A375" s="23">
        <v>374</v>
      </c>
      <c r="B375" s="23" t="s">
        <v>1883</v>
      </c>
      <c r="C375" s="23" t="s">
        <v>1690</v>
      </c>
      <c r="D375" s="23"/>
      <c r="E375" s="23" t="s">
        <v>1884</v>
      </c>
      <c r="F375" s="23" t="s">
        <v>1885</v>
      </c>
      <c r="G375" s="23">
        <v>2019</v>
      </c>
      <c r="H375" s="23" t="s">
        <v>1886</v>
      </c>
      <c r="I375" s="23" t="str">
        <f t="shared" si="2"/>
        <v>Recent</v>
      </c>
      <c r="J375" s="23" t="str">
        <f t="shared" si="3"/>
        <v>No</v>
      </c>
      <c r="K375" s="23"/>
      <c r="L375" s="23"/>
      <c r="M375" s="23"/>
      <c r="N375" s="23"/>
      <c r="O375" s="23"/>
      <c r="P375" s="23"/>
      <c r="Q375" s="23"/>
      <c r="R375" s="23"/>
      <c r="S375" s="23"/>
      <c r="T375" s="23"/>
      <c r="U375" s="23"/>
      <c r="V375" s="23"/>
      <c r="W375" s="23"/>
      <c r="X375" s="23"/>
      <c r="Y375" s="23"/>
      <c r="Z375" s="23"/>
      <c r="AA375" s="23"/>
      <c r="AB375" s="23"/>
    </row>
    <row r="376" spans="1:28" ht="12.5" customHeight="1">
      <c r="A376" s="19">
        <v>375</v>
      </c>
      <c r="B376" s="48" t="s">
        <v>1887</v>
      </c>
      <c r="C376" s="48" t="s">
        <v>1690</v>
      </c>
      <c r="D376" s="49" t="s">
        <v>1888</v>
      </c>
      <c r="E376" s="48" t="s">
        <v>1889</v>
      </c>
      <c r="F376" s="48" t="s">
        <v>1890</v>
      </c>
      <c r="G376" s="48">
        <v>1989</v>
      </c>
      <c r="H376" s="48" t="s">
        <v>1891</v>
      </c>
      <c r="I376" s="48" t="str">
        <f t="shared" si="2"/>
        <v>Early</v>
      </c>
      <c r="J376" s="48" t="str">
        <f t="shared" si="3"/>
        <v>Yes</v>
      </c>
      <c r="K376" s="48"/>
      <c r="L376" s="48"/>
      <c r="M376" s="18"/>
      <c r="N376" s="18"/>
      <c r="O376" s="18"/>
      <c r="P376" s="18"/>
      <c r="Q376" s="18"/>
      <c r="R376" s="18"/>
      <c r="S376" s="18"/>
      <c r="T376" s="18"/>
      <c r="U376" s="18"/>
      <c r="V376" s="18"/>
      <c r="W376" s="18"/>
      <c r="X376" s="18"/>
      <c r="Y376" s="18"/>
      <c r="Z376" s="18"/>
      <c r="AA376" s="18"/>
      <c r="AB376" s="18"/>
    </row>
    <row r="377" spans="1:28" ht="12.5" customHeight="1">
      <c r="A377" s="19">
        <v>376</v>
      </c>
      <c r="B377" s="48" t="s">
        <v>1892</v>
      </c>
      <c r="C377" s="48" t="s">
        <v>1690</v>
      </c>
      <c r="D377" s="49" t="s">
        <v>1893</v>
      </c>
      <c r="E377" s="48" t="s">
        <v>1894</v>
      </c>
      <c r="F377" s="48" t="s">
        <v>1895</v>
      </c>
      <c r="G377" s="48">
        <v>2006</v>
      </c>
      <c r="H377" s="48" t="s">
        <v>1735</v>
      </c>
      <c r="I377" s="48" t="str">
        <f t="shared" si="2"/>
        <v>Early</v>
      </c>
      <c r="J377" s="48" t="str">
        <f t="shared" si="3"/>
        <v>Yes</v>
      </c>
      <c r="K377" s="48"/>
      <c r="L377" s="48"/>
      <c r="M377" s="18"/>
      <c r="N377" s="18"/>
      <c r="O377" s="18"/>
      <c r="P377" s="18"/>
      <c r="Q377" s="18"/>
      <c r="R377" s="18"/>
      <c r="S377" s="18"/>
      <c r="T377" s="18"/>
      <c r="U377" s="18"/>
      <c r="V377" s="18"/>
      <c r="W377" s="18"/>
      <c r="X377" s="18"/>
      <c r="Y377" s="18"/>
      <c r="Z377" s="18"/>
      <c r="AA377" s="18"/>
      <c r="AB377" s="18"/>
    </row>
    <row r="378" spans="1:28" ht="12.5" customHeight="1">
      <c r="A378" s="19">
        <v>377</v>
      </c>
      <c r="B378" s="48" t="s">
        <v>1896</v>
      </c>
      <c r="C378" s="48" t="s">
        <v>1690</v>
      </c>
      <c r="D378" s="49" t="s">
        <v>1897</v>
      </c>
      <c r="E378" s="48" t="s">
        <v>1898</v>
      </c>
      <c r="F378" s="48" t="s">
        <v>1899</v>
      </c>
      <c r="G378" s="48">
        <v>1993</v>
      </c>
      <c r="H378" s="48" t="s">
        <v>1787</v>
      </c>
      <c r="I378" s="48" t="str">
        <f t="shared" si="2"/>
        <v>Early</v>
      </c>
      <c r="J378" s="48" t="str">
        <f t="shared" si="3"/>
        <v>Yes</v>
      </c>
      <c r="K378" s="48"/>
      <c r="L378" s="48"/>
      <c r="M378" s="18"/>
      <c r="N378" s="18"/>
      <c r="O378" s="18"/>
      <c r="P378" s="18"/>
      <c r="Q378" s="18"/>
      <c r="R378" s="18"/>
      <c r="S378" s="18"/>
      <c r="T378" s="18"/>
      <c r="U378" s="18"/>
      <c r="V378" s="18"/>
      <c r="W378" s="18"/>
      <c r="X378" s="18"/>
      <c r="Y378" s="18"/>
      <c r="Z378" s="18"/>
      <c r="AA378" s="18"/>
      <c r="AB378" s="18"/>
    </row>
    <row r="379" spans="1:28" ht="12.5" customHeight="1">
      <c r="A379" s="19">
        <v>378</v>
      </c>
      <c r="B379" s="48" t="s">
        <v>1900</v>
      </c>
      <c r="C379" s="48" t="s">
        <v>1690</v>
      </c>
      <c r="D379" s="49" t="s">
        <v>1901</v>
      </c>
      <c r="E379" s="48" t="s">
        <v>1902</v>
      </c>
      <c r="F379" s="48" t="s">
        <v>1903</v>
      </c>
      <c r="G379" s="48">
        <v>1997</v>
      </c>
      <c r="H379" s="48" t="s">
        <v>1904</v>
      </c>
      <c r="I379" s="48" t="str">
        <f t="shared" si="2"/>
        <v>Early</v>
      </c>
      <c r="J379" s="48" t="str">
        <f t="shared" si="3"/>
        <v>Yes</v>
      </c>
      <c r="K379" s="48"/>
      <c r="L379" s="48"/>
      <c r="M379" s="18"/>
      <c r="N379" s="18"/>
      <c r="O379" s="18"/>
      <c r="P379" s="18"/>
      <c r="Q379" s="18"/>
      <c r="R379" s="18"/>
      <c r="S379" s="18"/>
      <c r="T379" s="18"/>
      <c r="U379" s="18"/>
      <c r="V379" s="18"/>
      <c r="W379" s="18"/>
      <c r="X379" s="18"/>
      <c r="Y379" s="18"/>
      <c r="Z379" s="18"/>
      <c r="AA379" s="18"/>
      <c r="AB379" s="18"/>
    </row>
    <row r="380" spans="1:28" ht="12.5" customHeight="1">
      <c r="A380" s="19">
        <v>379</v>
      </c>
      <c r="B380" s="48" t="s">
        <v>1905</v>
      </c>
      <c r="C380" s="48" t="s">
        <v>1690</v>
      </c>
      <c r="D380" s="49" t="s">
        <v>1906</v>
      </c>
      <c r="E380" s="48" t="s">
        <v>1907</v>
      </c>
      <c r="F380" s="48" t="s">
        <v>1908</v>
      </c>
      <c r="G380" s="48">
        <v>1995</v>
      </c>
      <c r="H380" s="48" t="s">
        <v>1909</v>
      </c>
      <c r="I380" s="48" t="str">
        <f t="shared" si="2"/>
        <v>Early</v>
      </c>
      <c r="J380" s="48" t="str">
        <f t="shared" si="3"/>
        <v>Yes</v>
      </c>
      <c r="K380" s="48"/>
      <c r="L380" s="48"/>
      <c r="M380" s="18"/>
      <c r="N380" s="18"/>
      <c r="O380" s="18"/>
      <c r="P380" s="18"/>
      <c r="Q380" s="18"/>
      <c r="R380" s="18"/>
      <c r="S380" s="18"/>
      <c r="T380" s="18"/>
      <c r="U380" s="18"/>
      <c r="V380" s="18"/>
      <c r="W380" s="18"/>
      <c r="X380" s="18"/>
      <c r="Y380" s="18"/>
      <c r="Z380" s="18"/>
      <c r="AA380" s="18"/>
      <c r="AB380" s="18"/>
    </row>
    <row r="381" spans="1:28" ht="12.5" customHeight="1">
      <c r="A381" s="19">
        <v>380</v>
      </c>
      <c r="B381" s="48" t="s">
        <v>1910</v>
      </c>
      <c r="C381" s="48" t="s">
        <v>1690</v>
      </c>
      <c r="D381" s="49" t="s">
        <v>1911</v>
      </c>
      <c r="E381" s="48" t="s">
        <v>1912</v>
      </c>
      <c r="F381" s="48" t="s">
        <v>1913</v>
      </c>
      <c r="G381" s="48">
        <v>2007</v>
      </c>
      <c r="H381" s="48" t="s">
        <v>1914</v>
      </c>
      <c r="I381" s="48" t="str">
        <f t="shared" si="2"/>
        <v>Early</v>
      </c>
      <c r="J381" s="48" t="str">
        <f t="shared" si="3"/>
        <v>Yes</v>
      </c>
      <c r="K381" s="48"/>
      <c r="L381" s="48"/>
      <c r="M381" s="18"/>
      <c r="N381" s="18"/>
      <c r="O381" s="18"/>
      <c r="P381" s="18"/>
      <c r="Q381" s="18"/>
      <c r="R381" s="18"/>
      <c r="S381" s="18"/>
      <c r="T381" s="18"/>
      <c r="U381" s="18"/>
      <c r="V381" s="18"/>
      <c r="W381" s="18"/>
      <c r="X381" s="18"/>
      <c r="Y381" s="18"/>
      <c r="Z381" s="18"/>
      <c r="AA381" s="18"/>
      <c r="AB381" s="18"/>
    </row>
    <row r="382" spans="1:28" ht="12.5" customHeight="1">
      <c r="A382" s="19">
        <v>381</v>
      </c>
      <c r="B382" s="48" t="s">
        <v>1915</v>
      </c>
      <c r="C382" s="48" t="s">
        <v>1690</v>
      </c>
      <c r="D382" s="49" t="s">
        <v>1916</v>
      </c>
      <c r="E382" s="48" t="s">
        <v>1917</v>
      </c>
      <c r="F382" s="48" t="s">
        <v>1918</v>
      </c>
      <c r="G382" s="48">
        <v>2013</v>
      </c>
      <c r="H382" s="48" t="s">
        <v>1787</v>
      </c>
      <c r="I382" s="48" t="str">
        <f t="shared" si="2"/>
        <v>Middle</v>
      </c>
      <c r="J382" s="48" t="str">
        <f t="shared" si="3"/>
        <v>Yes</v>
      </c>
      <c r="K382" s="48"/>
      <c r="L382" s="48"/>
      <c r="M382" s="18"/>
      <c r="N382" s="18"/>
      <c r="O382" s="18"/>
      <c r="P382" s="18"/>
      <c r="Q382" s="18"/>
      <c r="R382" s="18"/>
      <c r="S382" s="18"/>
      <c r="T382" s="18"/>
      <c r="U382" s="18"/>
      <c r="V382" s="18"/>
      <c r="W382" s="18"/>
      <c r="X382" s="18"/>
      <c r="Y382" s="18"/>
      <c r="Z382" s="18"/>
      <c r="AA382" s="18"/>
      <c r="AB382" s="18"/>
    </row>
    <row r="383" spans="1:28" ht="12.5" customHeight="1">
      <c r="A383" s="19">
        <v>382</v>
      </c>
      <c r="B383" s="48" t="s">
        <v>1919</v>
      </c>
      <c r="C383" s="48" t="s">
        <v>1690</v>
      </c>
      <c r="D383" s="49" t="s">
        <v>1920</v>
      </c>
      <c r="E383" s="48" t="s">
        <v>1921</v>
      </c>
      <c r="F383" s="48" t="s">
        <v>1918</v>
      </c>
      <c r="G383" s="48">
        <v>2001</v>
      </c>
      <c r="H383" s="48" t="s">
        <v>454</v>
      </c>
      <c r="I383" s="48" t="str">
        <f t="shared" si="2"/>
        <v>Early</v>
      </c>
      <c r="J383" s="48" t="str">
        <f t="shared" si="3"/>
        <v>Yes</v>
      </c>
      <c r="K383" s="48"/>
      <c r="L383" s="48"/>
      <c r="M383" s="18"/>
      <c r="N383" s="18"/>
      <c r="O383" s="18"/>
      <c r="P383" s="18"/>
      <c r="Q383" s="18"/>
      <c r="R383" s="18"/>
      <c r="S383" s="18"/>
      <c r="T383" s="18"/>
      <c r="U383" s="18"/>
      <c r="V383" s="18"/>
      <c r="W383" s="18"/>
      <c r="X383" s="18"/>
      <c r="Y383" s="18"/>
      <c r="Z383" s="18"/>
      <c r="AA383" s="18"/>
      <c r="AB383" s="18"/>
    </row>
    <row r="384" spans="1:28" ht="12.5" customHeight="1">
      <c r="A384" s="23">
        <v>383</v>
      </c>
      <c r="B384" s="23" t="s">
        <v>1922</v>
      </c>
      <c r="C384" s="23" t="s">
        <v>1690</v>
      </c>
      <c r="D384" s="23"/>
      <c r="E384" s="23" t="s">
        <v>1923</v>
      </c>
      <c r="F384" s="23" t="s">
        <v>1924</v>
      </c>
      <c r="G384" s="23">
        <v>2013</v>
      </c>
      <c r="H384" s="23" t="s">
        <v>1925</v>
      </c>
      <c r="I384" s="23" t="str">
        <f t="shared" si="2"/>
        <v>Middle</v>
      </c>
      <c r="J384" s="23" t="str">
        <f t="shared" si="3"/>
        <v>No</v>
      </c>
      <c r="K384" s="23"/>
      <c r="L384" s="23"/>
      <c r="M384" s="23"/>
      <c r="N384" s="23"/>
      <c r="O384" s="23"/>
      <c r="P384" s="23"/>
      <c r="Q384" s="23"/>
      <c r="R384" s="23"/>
      <c r="S384" s="23"/>
      <c r="T384" s="23"/>
      <c r="U384" s="23"/>
      <c r="V384" s="23"/>
      <c r="W384" s="23"/>
      <c r="X384" s="23"/>
      <c r="Y384" s="23"/>
      <c r="Z384" s="23"/>
      <c r="AA384" s="23"/>
      <c r="AB384" s="23"/>
    </row>
    <row r="385" spans="1:28" ht="12.5" customHeight="1">
      <c r="A385" s="23">
        <v>384</v>
      </c>
      <c r="B385" s="23" t="s">
        <v>1926</v>
      </c>
      <c r="C385" s="23" t="s">
        <v>1690</v>
      </c>
      <c r="D385" s="23"/>
      <c r="E385" s="23" t="s">
        <v>1927</v>
      </c>
      <c r="F385" s="23" t="s">
        <v>1928</v>
      </c>
      <c r="G385" s="23">
        <v>2002</v>
      </c>
      <c r="H385" s="23" t="s">
        <v>1708</v>
      </c>
      <c r="I385" s="23" t="str">
        <f t="shared" si="2"/>
        <v>Early</v>
      </c>
      <c r="J385" s="23" t="str">
        <f t="shared" si="3"/>
        <v>No</v>
      </c>
      <c r="K385" s="23"/>
      <c r="L385" s="23"/>
      <c r="M385" s="23"/>
      <c r="N385" s="23"/>
      <c r="O385" s="23"/>
      <c r="P385" s="23"/>
      <c r="Q385" s="23"/>
      <c r="R385" s="23"/>
      <c r="S385" s="23"/>
      <c r="T385" s="23"/>
      <c r="U385" s="23"/>
      <c r="V385" s="23"/>
      <c r="W385" s="23"/>
      <c r="X385" s="23"/>
      <c r="Y385" s="23"/>
      <c r="Z385" s="23"/>
      <c r="AA385" s="23"/>
      <c r="AB385" s="23"/>
    </row>
    <row r="386" spans="1:28" ht="12.5" customHeight="1">
      <c r="A386" s="23">
        <v>385</v>
      </c>
      <c r="B386" s="23" t="s">
        <v>1929</v>
      </c>
      <c r="C386" s="23" t="s">
        <v>1690</v>
      </c>
      <c r="D386" s="23"/>
      <c r="E386" s="23" t="s">
        <v>1930</v>
      </c>
      <c r="F386" s="23" t="s">
        <v>1931</v>
      </c>
      <c r="G386" s="23">
        <v>2006</v>
      </c>
      <c r="H386" s="23" t="s">
        <v>1708</v>
      </c>
      <c r="I386" s="23" t="str">
        <f t="shared" si="2"/>
        <v>Early</v>
      </c>
      <c r="J386" s="23" t="str">
        <f t="shared" si="3"/>
        <v>No</v>
      </c>
      <c r="K386" s="23"/>
      <c r="L386" s="23"/>
      <c r="M386" s="23"/>
      <c r="N386" s="23"/>
      <c r="O386" s="23"/>
      <c r="P386" s="23"/>
      <c r="Q386" s="23"/>
      <c r="R386" s="23"/>
      <c r="S386" s="23"/>
      <c r="T386" s="23"/>
      <c r="U386" s="23"/>
      <c r="V386" s="23"/>
      <c r="W386" s="23"/>
      <c r="X386" s="23"/>
      <c r="Y386" s="23"/>
      <c r="Z386" s="23"/>
      <c r="AA386" s="23"/>
      <c r="AB386" s="23"/>
    </row>
    <row r="387" spans="1:28" ht="12.5" customHeight="1">
      <c r="A387" s="19">
        <v>386</v>
      </c>
      <c r="B387" s="48" t="s">
        <v>1932</v>
      </c>
      <c r="C387" s="48" t="s">
        <v>1690</v>
      </c>
      <c r="D387" s="49" t="s">
        <v>1933</v>
      </c>
      <c r="E387" s="48" t="s">
        <v>1934</v>
      </c>
      <c r="F387" s="48" t="s">
        <v>1935</v>
      </c>
      <c r="G387" s="48">
        <v>2009</v>
      </c>
      <c r="H387" s="48" t="s">
        <v>1787</v>
      </c>
      <c r="I387" s="48" t="str">
        <f t="shared" si="2"/>
        <v>Early</v>
      </c>
      <c r="J387" s="48" t="str">
        <f t="shared" si="3"/>
        <v>Yes</v>
      </c>
      <c r="K387" s="48"/>
      <c r="L387" s="48"/>
      <c r="M387" s="18"/>
      <c r="N387" s="18"/>
      <c r="O387" s="18"/>
      <c r="P387" s="18"/>
      <c r="Q387" s="18"/>
      <c r="R387" s="18"/>
      <c r="S387" s="18"/>
      <c r="T387" s="18"/>
      <c r="U387" s="18"/>
      <c r="V387" s="18"/>
      <c r="W387" s="18"/>
      <c r="X387" s="18"/>
      <c r="Y387" s="18"/>
      <c r="Z387" s="18"/>
      <c r="AA387" s="18"/>
      <c r="AB387" s="18"/>
    </row>
    <row r="388" spans="1:28" ht="12.5" customHeight="1">
      <c r="A388" s="19">
        <v>387</v>
      </c>
      <c r="B388" s="48" t="s">
        <v>1936</v>
      </c>
      <c r="C388" s="48" t="s">
        <v>1690</v>
      </c>
      <c r="D388" s="49" t="s">
        <v>1937</v>
      </c>
      <c r="E388" s="48" t="s">
        <v>1938</v>
      </c>
      <c r="F388" s="48" t="s">
        <v>1939</v>
      </c>
      <c r="G388" s="48">
        <v>2019</v>
      </c>
      <c r="H388" s="48" t="s">
        <v>1787</v>
      </c>
      <c r="I388" s="48" t="str">
        <f t="shared" si="2"/>
        <v>Recent</v>
      </c>
      <c r="J388" s="48" t="str">
        <f t="shared" si="3"/>
        <v>Yes</v>
      </c>
      <c r="K388" s="48"/>
      <c r="L388" s="48"/>
      <c r="M388" s="18"/>
      <c r="N388" s="18"/>
      <c r="O388" s="18"/>
      <c r="P388" s="18"/>
      <c r="Q388" s="18"/>
      <c r="R388" s="18"/>
      <c r="S388" s="18"/>
      <c r="T388" s="18"/>
      <c r="U388" s="18"/>
      <c r="V388" s="18"/>
      <c r="W388" s="18"/>
      <c r="X388" s="18"/>
      <c r="Y388" s="18"/>
      <c r="Z388" s="18"/>
      <c r="AA388" s="18"/>
      <c r="AB388" s="18"/>
    </row>
    <row r="389" spans="1:28" ht="12.5" customHeight="1">
      <c r="A389" s="19">
        <v>388</v>
      </c>
      <c r="B389" s="48" t="s">
        <v>1940</v>
      </c>
      <c r="C389" s="48" t="s">
        <v>1690</v>
      </c>
      <c r="D389" s="49" t="s">
        <v>1941</v>
      </c>
      <c r="E389" s="48" t="s">
        <v>1942</v>
      </c>
      <c r="F389" s="48" t="s">
        <v>1943</v>
      </c>
      <c r="G389" s="48">
        <v>2007</v>
      </c>
      <c r="H389" s="48" t="s">
        <v>1787</v>
      </c>
      <c r="I389" s="48" t="str">
        <f t="shared" si="2"/>
        <v>Early</v>
      </c>
      <c r="J389" s="48" t="str">
        <f t="shared" si="3"/>
        <v>Yes</v>
      </c>
      <c r="K389" s="48"/>
      <c r="L389" s="48"/>
      <c r="M389" s="18"/>
      <c r="N389" s="18"/>
      <c r="O389" s="18"/>
      <c r="P389" s="18"/>
      <c r="Q389" s="18"/>
      <c r="R389" s="18"/>
      <c r="S389" s="18"/>
      <c r="T389" s="18"/>
      <c r="U389" s="18"/>
      <c r="V389" s="18"/>
      <c r="W389" s="18"/>
      <c r="X389" s="18"/>
      <c r="Y389" s="18"/>
      <c r="Z389" s="18"/>
      <c r="AA389" s="18"/>
      <c r="AB389" s="18"/>
    </row>
    <row r="390" spans="1:28" ht="12.5" customHeight="1">
      <c r="A390" s="23">
        <v>389</v>
      </c>
      <c r="B390" s="23" t="s">
        <v>1944</v>
      </c>
      <c r="C390" s="23" t="s">
        <v>1690</v>
      </c>
      <c r="D390" s="23"/>
      <c r="E390" s="23" t="s">
        <v>1945</v>
      </c>
      <c r="F390" s="23" t="s">
        <v>1946</v>
      </c>
      <c r="G390" s="23">
        <v>2017</v>
      </c>
      <c r="H390" s="23" t="s">
        <v>1947</v>
      </c>
      <c r="I390" s="23" t="str">
        <f t="shared" si="2"/>
        <v>Middle</v>
      </c>
      <c r="J390" s="23" t="str">
        <f t="shared" si="3"/>
        <v>No</v>
      </c>
      <c r="K390" s="23"/>
      <c r="L390" s="23"/>
      <c r="M390" s="23"/>
      <c r="N390" s="23"/>
      <c r="O390" s="23"/>
      <c r="P390" s="23"/>
      <c r="Q390" s="23"/>
      <c r="R390" s="23"/>
      <c r="S390" s="23"/>
      <c r="T390" s="23"/>
      <c r="U390" s="23"/>
      <c r="V390" s="23"/>
      <c r="W390" s="23"/>
      <c r="X390" s="23"/>
      <c r="Y390" s="23"/>
      <c r="Z390" s="23"/>
      <c r="AA390" s="23"/>
      <c r="AB390" s="23"/>
    </row>
    <row r="391" spans="1:28" ht="12.5" customHeight="1">
      <c r="A391" s="19">
        <v>390</v>
      </c>
      <c r="B391" s="48" t="s">
        <v>1948</v>
      </c>
      <c r="C391" s="48" t="s">
        <v>1690</v>
      </c>
      <c r="D391" s="49" t="s">
        <v>1949</v>
      </c>
      <c r="E391" s="48" t="s">
        <v>1950</v>
      </c>
      <c r="F391" s="48" t="s">
        <v>1951</v>
      </c>
      <c r="G391" s="48">
        <v>1988</v>
      </c>
      <c r="H391" s="48" t="s">
        <v>1952</v>
      </c>
      <c r="I391" s="48" t="str">
        <f t="shared" si="2"/>
        <v>Early</v>
      </c>
      <c r="J391" s="48" t="str">
        <f t="shared" si="3"/>
        <v>Yes</v>
      </c>
      <c r="K391" s="48"/>
      <c r="L391" s="48"/>
      <c r="M391" s="18"/>
      <c r="N391" s="18"/>
      <c r="O391" s="18"/>
      <c r="P391" s="18"/>
      <c r="Q391" s="18"/>
      <c r="R391" s="18"/>
      <c r="S391" s="18"/>
      <c r="T391" s="18"/>
      <c r="U391" s="18"/>
      <c r="V391" s="18"/>
      <c r="W391" s="18"/>
      <c r="X391" s="18"/>
      <c r="Y391" s="18"/>
      <c r="Z391" s="18"/>
      <c r="AA391" s="18"/>
      <c r="AB391" s="18"/>
    </row>
    <row r="392" spans="1:28" ht="12.5" customHeight="1">
      <c r="A392" s="19">
        <v>391</v>
      </c>
      <c r="B392" s="48" t="s">
        <v>1953</v>
      </c>
      <c r="C392" s="48" t="s">
        <v>1690</v>
      </c>
      <c r="D392" s="49" t="s">
        <v>1954</v>
      </c>
      <c r="E392" s="48" t="s">
        <v>1955</v>
      </c>
      <c r="F392" s="48" t="s">
        <v>1956</v>
      </c>
      <c r="G392" s="48">
        <v>2016</v>
      </c>
      <c r="H392" s="48" t="s">
        <v>1957</v>
      </c>
      <c r="I392" s="48" t="str">
        <f t="shared" si="2"/>
        <v>Middle</v>
      </c>
      <c r="J392" s="48" t="str">
        <f t="shared" si="3"/>
        <v>Yes</v>
      </c>
      <c r="K392" s="48"/>
      <c r="L392" s="48"/>
      <c r="M392" s="18"/>
      <c r="N392" s="18"/>
      <c r="O392" s="18"/>
      <c r="P392" s="18"/>
      <c r="Q392" s="18"/>
      <c r="R392" s="18"/>
      <c r="S392" s="18"/>
      <c r="T392" s="18"/>
      <c r="U392" s="18"/>
      <c r="V392" s="18"/>
      <c r="W392" s="18"/>
      <c r="X392" s="18"/>
      <c r="Y392" s="18"/>
      <c r="Z392" s="18"/>
      <c r="AA392" s="18"/>
      <c r="AB392" s="18"/>
    </row>
    <row r="393" spans="1:28" ht="12.5" customHeight="1">
      <c r="A393" s="23">
        <v>392</v>
      </c>
      <c r="B393" s="23" t="s">
        <v>1958</v>
      </c>
      <c r="C393" s="23" t="s">
        <v>1690</v>
      </c>
      <c r="D393" s="23"/>
      <c r="E393" s="23" t="s">
        <v>1959</v>
      </c>
      <c r="F393" s="23" t="s">
        <v>1960</v>
      </c>
      <c r="G393" s="23">
        <v>1989</v>
      </c>
      <c r="H393" s="23" t="s">
        <v>1961</v>
      </c>
      <c r="I393" s="23" t="str">
        <f t="shared" si="2"/>
        <v>Early</v>
      </c>
      <c r="J393" s="23" t="str">
        <f t="shared" si="3"/>
        <v>No</v>
      </c>
      <c r="K393" s="23"/>
      <c r="L393" s="23"/>
      <c r="M393" s="23"/>
      <c r="N393" s="23"/>
      <c r="O393" s="23"/>
      <c r="P393" s="23"/>
      <c r="Q393" s="23"/>
      <c r="R393" s="23"/>
      <c r="S393" s="23"/>
      <c r="T393" s="23"/>
      <c r="U393" s="23"/>
      <c r="V393" s="23"/>
      <c r="W393" s="23"/>
      <c r="X393" s="23"/>
      <c r="Y393" s="23"/>
      <c r="Z393" s="23"/>
      <c r="AA393" s="23"/>
      <c r="AB393" s="23"/>
    </row>
    <row r="394" spans="1:28" ht="12.5" customHeight="1">
      <c r="A394" s="19">
        <v>393</v>
      </c>
      <c r="B394" s="48" t="s">
        <v>1962</v>
      </c>
      <c r="C394" s="48" t="s">
        <v>1690</v>
      </c>
      <c r="D394" s="49" t="s">
        <v>1963</v>
      </c>
      <c r="E394" s="48" t="s">
        <v>1964</v>
      </c>
      <c r="F394" s="48" t="s">
        <v>1965</v>
      </c>
      <c r="G394" s="48">
        <v>2019</v>
      </c>
      <c r="H394" s="48" t="s">
        <v>1703</v>
      </c>
      <c r="I394" s="48" t="str">
        <f t="shared" si="2"/>
        <v>Recent</v>
      </c>
      <c r="J394" s="48" t="str">
        <f t="shared" si="3"/>
        <v>Yes</v>
      </c>
      <c r="K394" s="48"/>
      <c r="L394" s="48"/>
      <c r="M394" s="18"/>
      <c r="N394" s="18"/>
      <c r="O394" s="18"/>
      <c r="P394" s="18"/>
      <c r="Q394" s="18"/>
      <c r="R394" s="18"/>
      <c r="S394" s="18"/>
      <c r="T394" s="18"/>
      <c r="U394" s="18"/>
      <c r="V394" s="18"/>
      <c r="W394" s="18"/>
      <c r="X394" s="18"/>
      <c r="Y394" s="18"/>
      <c r="Z394" s="18"/>
      <c r="AA394" s="18"/>
      <c r="AB394" s="18"/>
    </row>
    <row r="395" spans="1:28" ht="12.5" customHeight="1">
      <c r="A395" s="23">
        <v>394</v>
      </c>
      <c r="B395" s="23" t="s">
        <v>1966</v>
      </c>
      <c r="C395" s="23" t="s">
        <v>1690</v>
      </c>
      <c r="D395" s="23"/>
      <c r="E395" s="23" t="s">
        <v>1967</v>
      </c>
      <c r="F395" s="23" t="s">
        <v>1968</v>
      </c>
      <c r="G395" s="23">
        <v>2009</v>
      </c>
      <c r="H395" s="23" t="s">
        <v>1969</v>
      </c>
      <c r="I395" s="23" t="str">
        <f t="shared" si="2"/>
        <v>Early</v>
      </c>
      <c r="J395" s="23" t="str">
        <f t="shared" si="3"/>
        <v>No</v>
      </c>
      <c r="K395" s="23"/>
      <c r="L395" s="23"/>
      <c r="M395" s="23"/>
      <c r="N395" s="23"/>
      <c r="O395" s="23"/>
      <c r="P395" s="23"/>
      <c r="Q395" s="23"/>
      <c r="R395" s="23"/>
      <c r="S395" s="23"/>
      <c r="T395" s="23"/>
      <c r="U395" s="23"/>
      <c r="V395" s="23"/>
      <c r="W395" s="23"/>
      <c r="X395" s="23"/>
      <c r="Y395" s="23"/>
      <c r="Z395" s="23"/>
      <c r="AA395" s="23"/>
      <c r="AB395" s="23"/>
    </row>
    <row r="396" spans="1:28" ht="12.5" customHeight="1">
      <c r="A396" s="19">
        <v>395</v>
      </c>
      <c r="B396" s="48" t="s">
        <v>1970</v>
      </c>
      <c r="C396" s="48" t="s">
        <v>1690</v>
      </c>
      <c r="D396" s="49" t="s">
        <v>1971</v>
      </c>
      <c r="E396" s="48" t="s">
        <v>1972</v>
      </c>
      <c r="F396" s="48" t="s">
        <v>1973</v>
      </c>
      <c r="G396" s="48">
        <v>2000</v>
      </c>
      <c r="H396" s="48" t="s">
        <v>1703</v>
      </c>
      <c r="I396" s="48" t="str">
        <f t="shared" si="2"/>
        <v>Early</v>
      </c>
      <c r="J396" s="48" t="str">
        <f t="shared" si="3"/>
        <v>Yes</v>
      </c>
      <c r="K396" s="48"/>
      <c r="L396" s="48"/>
      <c r="M396" s="18"/>
      <c r="N396" s="18"/>
      <c r="O396" s="18"/>
      <c r="P396" s="18"/>
      <c r="Q396" s="18"/>
      <c r="R396" s="18"/>
      <c r="S396" s="18"/>
      <c r="T396" s="18"/>
      <c r="U396" s="18"/>
      <c r="V396" s="18"/>
      <c r="W396" s="18"/>
      <c r="X396" s="18"/>
      <c r="Y396" s="18"/>
      <c r="Z396" s="18"/>
      <c r="AA396" s="18"/>
      <c r="AB396" s="18"/>
    </row>
    <row r="397" spans="1:28" ht="12.5" customHeight="1">
      <c r="A397" s="19">
        <v>396</v>
      </c>
      <c r="B397" s="48" t="s">
        <v>1974</v>
      </c>
      <c r="C397" s="48" t="s">
        <v>1690</v>
      </c>
      <c r="D397" s="49" t="s">
        <v>1975</v>
      </c>
      <c r="E397" s="48" t="s">
        <v>1976</v>
      </c>
      <c r="F397" s="48" t="s">
        <v>1977</v>
      </c>
      <c r="G397" s="48">
        <v>2006</v>
      </c>
      <c r="H397" s="48" t="s">
        <v>1703</v>
      </c>
      <c r="I397" s="48" t="str">
        <f t="shared" si="2"/>
        <v>Early</v>
      </c>
      <c r="J397" s="48" t="str">
        <f t="shared" si="3"/>
        <v>Yes</v>
      </c>
      <c r="K397" s="48"/>
      <c r="L397" s="48"/>
      <c r="M397" s="18"/>
      <c r="N397" s="18"/>
      <c r="O397" s="18"/>
      <c r="P397" s="18"/>
      <c r="Q397" s="18"/>
      <c r="R397" s="18"/>
      <c r="S397" s="18"/>
      <c r="T397" s="18"/>
      <c r="U397" s="18"/>
      <c r="V397" s="18"/>
      <c r="W397" s="18"/>
      <c r="X397" s="18"/>
      <c r="Y397" s="18"/>
      <c r="Z397" s="18"/>
      <c r="AA397" s="18"/>
      <c r="AB397" s="18"/>
    </row>
    <row r="398" spans="1:28" ht="12.5" customHeight="1">
      <c r="A398" s="19">
        <v>397</v>
      </c>
      <c r="B398" s="48" t="s">
        <v>1978</v>
      </c>
      <c r="C398" s="48" t="s">
        <v>1690</v>
      </c>
      <c r="D398" s="49" t="s">
        <v>1979</v>
      </c>
      <c r="E398" s="48" t="s">
        <v>1980</v>
      </c>
      <c r="F398" s="48" t="s">
        <v>1981</v>
      </c>
      <c r="G398" s="48">
        <v>2013</v>
      </c>
      <c r="H398" s="48" t="s">
        <v>1728</v>
      </c>
      <c r="I398" s="48" t="str">
        <f t="shared" si="2"/>
        <v>Middle</v>
      </c>
      <c r="J398" s="48" t="str">
        <f t="shared" si="3"/>
        <v>Yes</v>
      </c>
      <c r="K398" s="48"/>
      <c r="L398" s="48"/>
      <c r="M398" s="18"/>
      <c r="N398" s="18"/>
      <c r="O398" s="18"/>
      <c r="P398" s="18"/>
      <c r="Q398" s="18"/>
      <c r="R398" s="18"/>
      <c r="S398" s="18"/>
      <c r="T398" s="18"/>
      <c r="U398" s="18"/>
      <c r="V398" s="18"/>
      <c r="W398" s="18"/>
      <c r="X398" s="18"/>
      <c r="Y398" s="18"/>
      <c r="Z398" s="18"/>
      <c r="AA398" s="18"/>
      <c r="AB398" s="18"/>
    </row>
    <row r="399" spans="1:28" ht="12.5" customHeight="1">
      <c r="A399" s="19">
        <v>398</v>
      </c>
      <c r="B399" s="48" t="s">
        <v>1982</v>
      </c>
      <c r="C399" s="48" t="s">
        <v>1690</v>
      </c>
      <c r="D399" s="49" t="s">
        <v>1983</v>
      </c>
      <c r="E399" s="48" t="s">
        <v>1984</v>
      </c>
      <c r="F399" s="48" t="s">
        <v>1985</v>
      </c>
      <c r="G399" s="48">
        <v>2016</v>
      </c>
      <c r="H399" s="48" t="s">
        <v>1787</v>
      </c>
      <c r="I399" s="48" t="str">
        <f t="shared" si="2"/>
        <v>Middle</v>
      </c>
      <c r="J399" s="48" t="str">
        <f t="shared" si="3"/>
        <v>Yes</v>
      </c>
      <c r="K399" s="48"/>
      <c r="L399" s="48"/>
      <c r="M399" s="18"/>
      <c r="N399" s="18"/>
      <c r="O399" s="18"/>
      <c r="P399" s="18"/>
      <c r="Q399" s="18"/>
      <c r="R399" s="18"/>
      <c r="S399" s="18"/>
      <c r="T399" s="18"/>
      <c r="U399" s="18"/>
      <c r="V399" s="18"/>
      <c r="W399" s="18"/>
      <c r="X399" s="18"/>
      <c r="Y399" s="18"/>
      <c r="Z399" s="18"/>
      <c r="AA399" s="18"/>
      <c r="AB399" s="18"/>
    </row>
    <row r="400" spans="1:28" ht="12.5" customHeight="1">
      <c r="A400" s="23">
        <v>399</v>
      </c>
      <c r="B400" s="23" t="s">
        <v>1986</v>
      </c>
      <c r="C400" s="23" t="s">
        <v>1690</v>
      </c>
      <c r="D400" s="23"/>
      <c r="E400" s="23" t="s">
        <v>1987</v>
      </c>
      <c r="F400" s="23" t="s">
        <v>1988</v>
      </c>
      <c r="G400" s="23">
        <v>2017</v>
      </c>
      <c r="H400" s="23" t="s">
        <v>1989</v>
      </c>
      <c r="I400" s="23" t="str">
        <f t="shared" si="2"/>
        <v>Middle</v>
      </c>
      <c r="J400" s="23" t="str">
        <f t="shared" si="3"/>
        <v>No</v>
      </c>
      <c r="K400" s="23"/>
      <c r="L400" s="23"/>
      <c r="M400" s="23"/>
      <c r="N400" s="23"/>
      <c r="O400" s="23"/>
      <c r="P400" s="23"/>
      <c r="Q400" s="23"/>
      <c r="R400" s="23"/>
      <c r="S400" s="23"/>
      <c r="T400" s="23"/>
      <c r="U400" s="23"/>
      <c r="V400" s="23"/>
      <c r="W400" s="23"/>
      <c r="X400" s="23"/>
      <c r="Y400" s="23"/>
      <c r="Z400" s="23"/>
      <c r="AA400" s="23"/>
      <c r="AB400" s="23"/>
    </row>
    <row r="401" spans="1:28" ht="12.5" customHeight="1">
      <c r="A401" s="23">
        <v>400</v>
      </c>
      <c r="B401" s="23" t="s">
        <v>1990</v>
      </c>
      <c r="C401" s="23" t="s">
        <v>1690</v>
      </c>
      <c r="D401" s="23"/>
      <c r="E401" s="23" t="s">
        <v>1991</v>
      </c>
      <c r="F401" s="23" t="s">
        <v>1992</v>
      </c>
      <c r="G401" s="23">
        <v>2003</v>
      </c>
      <c r="H401" s="23" t="s">
        <v>1993</v>
      </c>
      <c r="I401" s="23" t="str">
        <f t="shared" si="2"/>
        <v>Early</v>
      </c>
      <c r="J401" s="23" t="str">
        <f t="shared" si="3"/>
        <v>No</v>
      </c>
      <c r="K401" s="23"/>
      <c r="L401" s="23"/>
      <c r="M401" s="23"/>
      <c r="N401" s="23"/>
      <c r="O401" s="23"/>
      <c r="P401" s="23"/>
      <c r="Q401" s="23"/>
      <c r="R401" s="23"/>
      <c r="S401" s="23"/>
      <c r="T401" s="23"/>
      <c r="U401" s="23"/>
      <c r="V401" s="23"/>
      <c r="W401" s="23"/>
      <c r="X401" s="23"/>
      <c r="Y401" s="23"/>
      <c r="Z401" s="23"/>
      <c r="AA401" s="23"/>
      <c r="AB401" s="23"/>
    </row>
    <row r="402" spans="1:28" ht="12.5" customHeight="1">
      <c r="A402" s="19">
        <v>401</v>
      </c>
      <c r="B402" s="48" t="s">
        <v>1994</v>
      </c>
      <c r="C402" s="48" t="s">
        <v>1690</v>
      </c>
      <c r="D402" s="49" t="s">
        <v>1995</v>
      </c>
      <c r="E402" s="48" t="s">
        <v>1996</v>
      </c>
      <c r="F402" s="48" t="s">
        <v>1997</v>
      </c>
      <c r="G402" s="48">
        <v>2014</v>
      </c>
      <c r="H402" s="48" t="s">
        <v>1787</v>
      </c>
      <c r="I402" s="48" t="str">
        <f t="shared" si="2"/>
        <v>Middle</v>
      </c>
      <c r="J402" s="48" t="str">
        <f t="shared" si="3"/>
        <v>Yes</v>
      </c>
      <c r="K402" s="48"/>
      <c r="L402" s="48"/>
      <c r="M402" s="18"/>
      <c r="N402" s="18"/>
      <c r="O402" s="18"/>
      <c r="P402" s="18"/>
      <c r="Q402" s="18"/>
      <c r="R402" s="18"/>
      <c r="S402" s="18"/>
      <c r="T402" s="18"/>
      <c r="U402" s="18"/>
      <c r="V402" s="18"/>
      <c r="W402" s="18"/>
      <c r="X402" s="18"/>
      <c r="Y402" s="18"/>
      <c r="Z402" s="18"/>
      <c r="AA402" s="18"/>
      <c r="AB402" s="18"/>
    </row>
    <row r="403" spans="1:28" ht="12.5" customHeight="1">
      <c r="A403" s="19">
        <v>402</v>
      </c>
      <c r="B403" s="48" t="s">
        <v>1998</v>
      </c>
      <c r="C403" s="48" t="s">
        <v>1690</v>
      </c>
      <c r="D403" s="49" t="s">
        <v>1999</v>
      </c>
      <c r="E403" s="48" t="s">
        <v>2000</v>
      </c>
      <c r="F403" s="48" t="s">
        <v>2001</v>
      </c>
      <c r="G403" s="48">
        <v>2000</v>
      </c>
      <c r="H403" s="48" t="s">
        <v>1787</v>
      </c>
      <c r="I403" s="48" t="str">
        <f t="shared" si="2"/>
        <v>Early</v>
      </c>
      <c r="J403" s="48" t="str">
        <f t="shared" si="3"/>
        <v>Yes</v>
      </c>
      <c r="K403" s="48"/>
      <c r="L403" s="48"/>
      <c r="M403" s="18"/>
      <c r="N403" s="18"/>
      <c r="O403" s="18"/>
      <c r="P403" s="18"/>
      <c r="Q403" s="18"/>
      <c r="R403" s="18"/>
      <c r="S403" s="18"/>
      <c r="T403" s="18"/>
      <c r="U403" s="18"/>
      <c r="V403" s="18"/>
      <c r="W403" s="18"/>
      <c r="X403" s="18"/>
      <c r="Y403" s="18"/>
      <c r="Z403" s="18"/>
      <c r="AA403" s="18"/>
      <c r="AB403" s="18"/>
    </row>
    <row r="404" spans="1:28" ht="12.5" customHeight="1">
      <c r="A404" s="19">
        <v>403</v>
      </c>
      <c r="B404" s="48" t="s">
        <v>2002</v>
      </c>
      <c r="C404" s="48" t="s">
        <v>1690</v>
      </c>
      <c r="D404" s="49" t="s">
        <v>2003</v>
      </c>
      <c r="E404" s="48" t="s">
        <v>2004</v>
      </c>
      <c r="F404" s="48" t="s">
        <v>2005</v>
      </c>
      <c r="G404" s="48">
        <v>2002</v>
      </c>
      <c r="H404" s="48" t="s">
        <v>1813</v>
      </c>
      <c r="I404" s="48" t="str">
        <f t="shared" si="2"/>
        <v>Early</v>
      </c>
      <c r="J404" s="48" t="str">
        <f t="shared" si="3"/>
        <v>Yes</v>
      </c>
      <c r="K404" s="48"/>
      <c r="L404" s="48"/>
      <c r="M404" s="18"/>
      <c r="N404" s="18"/>
      <c r="O404" s="18"/>
      <c r="P404" s="18"/>
      <c r="Q404" s="18"/>
      <c r="R404" s="18"/>
      <c r="S404" s="18"/>
      <c r="T404" s="18"/>
      <c r="U404" s="18"/>
      <c r="V404" s="18"/>
      <c r="W404" s="18"/>
      <c r="X404" s="18"/>
      <c r="Y404" s="18"/>
      <c r="Z404" s="18"/>
      <c r="AA404" s="18"/>
      <c r="AB404" s="18"/>
    </row>
    <row r="405" spans="1:28" ht="12.5" customHeight="1">
      <c r="A405" s="19">
        <v>404</v>
      </c>
      <c r="B405" s="48" t="s">
        <v>2006</v>
      </c>
      <c r="C405" s="48" t="s">
        <v>1690</v>
      </c>
      <c r="D405" s="49" t="s">
        <v>2007</v>
      </c>
      <c r="E405" s="48" t="s">
        <v>2008</v>
      </c>
      <c r="F405" s="48" t="s">
        <v>2005</v>
      </c>
      <c r="G405" s="48">
        <v>1998</v>
      </c>
      <c r="H405" s="48" t="s">
        <v>1787</v>
      </c>
      <c r="I405" s="48" t="str">
        <f t="shared" si="2"/>
        <v>Early</v>
      </c>
      <c r="J405" s="48" t="str">
        <f t="shared" si="3"/>
        <v>Yes</v>
      </c>
      <c r="K405" s="48"/>
      <c r="L405" s="48"/>
      <c r="M405" s="18"/>
      <c r="N405" s="18"/>
      <c r="O405" s="18"/>
      <c r="P405" s="18"/>
      <c r="Q405" s="18"/>
      <c r="R405" s="18"/>
      <c r="S405" s="18"/>
      <c r="T405" s="18"/>
      <c r="U405" s="18"/>
      <c r="V405" s="18"/>
      <c r="W405" s="18"/>
      <c r="X405" s="18"/>
      <c r="Y405" s="18"/>
      <c r="Z405" s="18"/>
      <c r="AA405" s="18"/>
      <c r="AB405" s="18"/>
    </row>
    <row r="406" spans="1:28" ht="12.5" customHeight="1">
      <c r="A406" s="23">
        <v>405</v>
      </c>
      <c r="B406" s="23" t="s">
        <v>2009</v>
      </c>
      <c r="C406" s="23" t="s">
        <v>1690</v>
      </c>
      <c r="D406" s="23"/>
      <c r="E406" s="23" t="s">
        <v>2010</v>
      </c>
      <c r="F406" s="23" t="s">
        <v>2011</v>
      </c>
      <c r="G406" s="23">
        <v>2010</v>
      </c>
      <c r="H406" s="23" t="s">
        <v>2012</v>
      </c>
      <c r="I406" s="23" t="str">
        <f t="shared" si="2"/>
        <v>Middle</v>
      </c>
      <c r="J406" s="23" t="str">
        <f t="shared" si="3"/>
        <v>No</v>
      </c>
      <c r="K406" s="23"/>
      <c r="L406" s="23"/>
      <c r="M406" s="23"/>
      <c r="N406" s="23"/>
      <c r="O406" s="23"/>
      <c r="P406" s="23"/>
      <c r="Q406" s="23"/>
      <c r="R406" s="23"/>
      <c r="S406" s="23"/>
      <c r="T406" s="23"/>
      <c r="U406" s="23"/>
      <c r="V406" s="23"/>
      <c r="W406" s="23"/>
      <c r="X406" s="23"/>
      <c r="Y406" s="23"/>
      <c r="Z406" s="23"/>
      <c r="AA406" s="23"/>
      <c r="AB406" s="23"/>
    </row>
    <row r="407" spans="1:28" ht="12.5" customHeight="1">
      <c r="A407" s="19">
        <v>406</v>
      </c>
      <c r="B407" s="48" t="s">
        <v>2013</v>
      </c>
      <c r="C407" s="48" t="s">
        <v>1690</v>
      </c>
      <c r="D407" s="49" t="s">
        <v>2014</v>
      </c>
      <c r="E407" s="48" t="s">
        <v>2015</v>
      </c>
      <c r="F407" s="48" t="s">
        <v>2016</v>
      </c>
      <c r="G407" s="48">
        <v>2020</v>
      </c>
      <c r="H407" s="48" t="s">
        <v>2017</v>
      </c>
      <c r="I407" s="48" t="str">
        <f t="shared" si="2"/>
        <v>Recent</v>
      </c>
      <c r="J407" s="48" t="str">
        <f t="shared" si="3"/>
        <v>Yes</v>
      </c>
      <c r="K407" s="48"/>
      <c r="L407" s="48"/>
      <c r="M407" s="18"/>
      <c r="N407" s="18"/>
      <c r="O407" s="18"/>
      <c r="P407" s="18"/>
      <c r="Q407" s="18"/>
      <c r="R407" s="18"/>
      <c r="S407" s="18"/>
      <c r="T407" s="18"/>
      <c r="U407" s="18"/>
      <c r="V407" s="18"/>
      <c r="W407" s="18"/>
      <c r="X407" s="18"/>
      <c r="Y407" s="18"/>
      <c r="Z407" s="18"/>
      <c r="AA407" s="18"/>
      <c r="AB407" s="18"/>
    </row>
    <row r="408" spans="1:28" ht="12.5" customHeight="1">
      <c r="A408" s="19">
        <v>407</v>
      </c>
      <c r="B408" s="48" t="s">
        <v>2018</v>
      </c>
      <c r="C408" s="48" t="s">
        <v>1690</v>
      </c>
      <c r="D408" s="49" t="s">
        <v>2019</v>
      </c>
      <c r="E408" s="48" t="s">
        <v>2020</v>
      </c>
      <c r="F408" s="48" t="s">
        <v>2021</v>
      </c>
      <c r="G408" s="48">
        <v>2014</v>
      </c>
      <c r="H408" s="48" t="s">
        <v>368</v>
      </c>
      <c r="I408" s="48" t="str">
        <f t="shared" si="2"/>
        <v>Middle</v>
      </c>
      <c r="J408" s="48" t="str">
        <f t="shared" si="3"/>
        <v>Yes</v>
      </c>
      <c r="K408" s="48"/>
      <c r="L408" s="48"/>
      <c r="M408" s="18"/>
      <c r="N408" s="18"/>
      <c r="O408" s="18"/>
      <c r="P408" s="18"/>
      <c r="Q408" s="18"/>
      <c r="R408" s="18"/>
      <c r="S408" s="18"/>
      <c r="T408" s="18"/>
      <c r="U408" s="18"/>
      <c r="V408" s="18"/>
      <c r="W408" s="18"/>
      <c r="X408" s="18"/>
      <c r="Y408" s="18"/>
      <c r="Z408" s="18"/>
      <c r="AA408" s="18"/>
      <c r="AB408" s="18"/>
    </row>
    <row r="409" spans="1:28" ht="12.5" customHeight="1">
      <c r="A409" s="19">
        <v>408</v>
      </c>
      <c r="B409" s="48" t="s">
        <v>2022</v>
      </c>
      <c r="C409" s="48" t="s">
        <v>1690</v>
      </c>
      <c r="D409" s="49" t="s">
        <v>2023</v>
      </c>
      <c r="E409" s="48" t="s">
        <v>2024</v>
      </c>
      <c r="F409" s="48" t="s">
        <v>2025</v>
      </c>
      <c r="G409" s="48">
        <v>2010</v>
      </c>
      <c r="H409" s="48" t="s">
        <v>2026</v>
      </c>
      <c r="I409" s="48" t="str">
        <f t="shared" si="2"/>
        <v>Middle</v>
      </c>
      <c r="J409" s="48" t="str">
        <f t="shared" si="3"/>
        <v>Yes</v>
      </c>
      <c r="K409" s="48"/>
      <c r="L409" s="48"/>
      <c r="M409" s="18"/>
      <c r="N409" s="18"/>
      <c r="O409" s="18"/>
      <c r="P409" s="18"/>
      <c r="Q409" s="18"/>
      <c r="R409" s="18"/>
      <c r="S409" s="18"/>
      <c r="T409" s="18"/>
      <c r="U409" s="18"/>
      <c r="V409" s="18"/>
      <c r="W409" s="18"/>
      <c r="X409" s="18"/>
      <c r="Y409" s="18"/>
      <c r="Z409" s="18"/>
      <c r="AA409" s="18"/>
      <c r="AB409" s="18"/>
    </row>
    <row r="410" spans="1:28" ht="12.5" customHeight="1">
      <c r="A410" s="19">
        <v>409</v>
      </c>
      <c r="B410" s="53" t="s">
        <v>2027</v>
      </c>
      <c r="C410" s="53" t="s">
        <v>2028</v>
      </c>
      <c r="D410" s="54" t="s">
        <v>2029</v>
      </c>
      <c r="E410" s="53" t="s">
        <v>2030</v>
      </c>
      <c r="F410" s="53" t="s">
        <v>2031</v>
      </c>
      <c r="G410" s="53">
        <v>2015</v>
      </c>
      <c r="H410" s="53" t="s">
        <v>2032</v>
      </c>
      <c r="I410" s="53" t="str">
        <f t="shared" si="2"/>
        <v>Middle</v>
      </c>
      <c r="J410" s="53" t="str">
        <f t="shared" si="3"/>
        <v>Yes</v>
      </c>
      <c r="K410" s="53"/>
      <c r="L410" s="53"/>
      <c r="M410" s="18"/>
      <c r="N410" s="18"/>
      <c r="O410" s="18"/>
      <c r="P410" s="18"/>
      <c r="Q410" s="18"/>
      <c r="R410" s="18"/>
      <c r="S410" s="18"/>
      <c r="T410" s="18"/>
      <c r="U410" s="18"/>
      <c r="V410" s="18"/>
      <c r="W410" s="18"/>
      <c r="X410" s="18"/>
      <c r="Y410" s="18"/>
      <c r="Z410" s="18"/>
      <c r="AA410" s="18"/>
      <c r="AB410" s="18"/>
    </row>
    <row r="411" spans="1:28" ht="12.5" customHeight="1">
      <c r="A411" s="19">
        <v>410</v>
      </c>
      <c r="B411" s="53" t="s">
        <v>2033</v>
      </c>
      <c r="C411" s="53" t="s">
        <v>2028</v>
      </c>
      <c r="D411" s="54" t="s">
        <v>2034</v>
      </c>
      <c r="E411" s="53" t="s">
        <v>2035</v>
      </c>
      <c r="F411" s="53" t="s">
        <v>2036</v>
      </c>
      <c r="G411" s="53">
        <v>1994</v>
      </c>
      <c r="H411" s="53" t="s">
        <v>2037</v>
      </c>
      <c r="I411" s="53" t="str">
        <f t="shared" si="2"/>
        <v>Early</v>
      </c>
      <c r="J411" s="53" t="str">
        <f t="shared" si="3"/>
        <v>Yes</v>
      </c>
      <c r="K411" s="53"/>
      <c r="L411" s="53"/>
      <c r="M411" s="18"/>
      <c r="N411" s="18"/>
      <c r="O411" s="18"/>
      <c r="P411" s="18"/>
      <c r="Q411" s="18"/>
      <c r="R411" s="18"/>
      <c r="S411" s="18"/>
      <c r="T411" s="18"/>
      <c r="U411" s="18"/>
      <c r="V411" s="18"/>
      <c r="W411" s="18"/>
      <c r="X411" s="18"/>
      <c r="Y411" s="18"/>
      <c r="Z411" s="18"/>
      <c r="AA411" s="18"/>
      <c r="AB411" s="18"/>
    </row>
    <row r="412" spans="1:28" ht="12.5" customHeight="1">
      <c r="A412" s="19">
        <v>411</v>
      </c>
      <c r="B412" s="53" t="s">
        <v>2038</v>
      </c>
      <c r="C412" s="53" t="s">
        <v>2028</v>
      </c>
      <c r="D412" s="54" t="s">
        <v>2039</v>
      </c>
      <c r="E412" s="53" t="s">
        <v>2040</v>
      </c>
      <c r="F412" s="53" t="s">
        <v>2036</v>
      </c>
      <c r="G412" s="53">
        <v>1997</v>
      </c>
      <c r="H412" s="53" t="s">
        <v>2041</v>
      </c>
      <c r="I412" s="53" t="str">
        <f t="shared" si="2"/>
        <v>Early</v>
      </c>
      <c r="J412" s="53" t="str">
        <f t="shared" si="3"/>
        <v>Yes</v>
      </c>
      <c r="K412" s="53"/>
      <c r="L412" s="53"/>
      <c r="M412" s="18"/>
      <c r="N412" s="18"/>
      <c r="O412" s="18"/>
      <c r="P412" s="18"/>
      <c r="Q412" s="18"/>
      <c r="R412" s="18"/>
      <c r="S412" s="18"/>
      <c r="T412" s="18"/>
      <c r="U412" s="18"/>
      <c r="V412" s="18"/>
      <c r="W412" s="18"/>
      <c r="X412" s="18"/>
      <c r="Y412" s="18"/>
      <c r="Z412" s="18"/>
      <c r="AA412" s="18"/>
      <c r="AB412" s="18"/>
    </row>
    <row r="413" spans="1:28" ht="12.5" customHeight="1">
      <c r="A413" s="19">
        <v>412</v>
      </c>
      <c r="B413" s="53" t="s">
        <v>2042</v>
      </c>
      <c r="C413" s="53" t="s">
        <v>2028</v>
      </c>
      <c r="D413" s="54" t="s">
        <v>2043</v>
      </c>
      <c r="E413" s="53" t="s">
        <v>2044</v>
      </c>
      <c r="F413" s="53" t="s">
        <v>2045</v>
      </c>
      <c r="G413" s="53">
        <v>2016</v>
      </c>
      <c r="H413" s="53" t="s">
        <v>2032</v>
      </c>
      <c r="I413" s="53" t="str">
        <f t="shared" si="2"/>
        <v>Middle</v>
      </c>
      <c r="J413" s="53" t="str">
        <f t="shared" si="3"/>
        <v>Yes</v>
      </c>
      <c r="K413" s="53"/>
      <c r="L413" s="53"/>
      <c r="M413" s="18"/>
      <c r="N413" s="18"/>
      <c r="O413" s="18"/>
      <c r="P413" s="18"/>
      <c r="Q413" s="18"/>
      <c r="R413" s="18"/>
      <c r="S413" s="18"/>
      <c r="T413" s="18"/>
      <c r="U413" s="18"/>
      <c r="V413" s="18"/>
      <c r="W413" s="18"/>
      <c r="X413" s="18"/>
      <c r="Y413" s="18"/>
      <c r="Z413" s="18"/>
      <c r="AA413" s="18"/>
      <c r="AB413" s="18"/>
    </row>
    <row r="414" spans="1:28" ht="12.5" customHeight="1">
      <c r="A414" s="19">
        <v>413</v>
      </c>
      <c r="B414" s="53" t="s">
        <v>2046</v>
      </c>
      <c r="C414" s="53" t="s">
        <v>2028</v>
      </c>
      <c r="D414" s="54" t="s">
        <v>2047</v>
      </c>
      <c r="E414" s="53" t="s">
        <v>2048</v>
      </c>
      <c r="F414" s="53" t="s">
        <v>2045</v>
      </c>
      <c r="G414" s="53">
        <v>2014</v>
      </c>
      <c r="H414" s="53" t="s">
        <v>713</v>
      </c>
      <c r="I414" s="53" t="str">
        <f t="shared" si="2"/>
        <v>Middle</v>
      </c>
      <c r="J414" s="53" t="str">
        <f t="shared" si="3"/>
        <v>Yes</v>
      </c>
      <c r="K414" s="53"/>
      <c r="L414" s="53"/>
      <c r="M414" s="18"/>
      <c r="N414" s="18"/>
      <c r="O414" s="18"/>
      <c r="P414" s="18"/>
      <c r="Q414" s="18"/>
      <c r="R414" s="18"/>
      <c r="S414" s="18"/>
      <c r="T414" s="18"/>
      <c r="U414" s="18"/>
      <c r="V414" s="18"/>
      <c r="W414" s="18"/>
      <c r="X414" s="18"/>
      <c r="Y414" s="18"/>
      <c r="Z414" s="18"/>
      <c r="AA414" s="18"/>
      <c r="AB414" s="18"/>
    </row>
    <row r="415" spans="1:28" ht="12.5" customHeight="1">
      <c r="A415" s="19">
        <v>414</v>
      </c>
      <c r="B415" s="53" t="s">
        <v>2049</v>
      </c>
      <c r="C415" s="53" t="s">
        <v>2028</v>
      </c>
      <c r="D415" s="54" t="s">
        <v>2050</v>
      </c>
      <c r="E415" s="53" t="s">
        <v>2051</v>
      </c>
      <c r="F415" s="53" t="s">
        <v>2045</v>
      </c>
      <c r="G415" s="53">
        <v>2017</v>
      </c>
      <c r="H415" s="53" t="s">
        <v>2032</v>
      </c>
      <c r="I415" s="53" t="str">
        <f t="shared" si="2"/>
        <v>Middle</v>
      </c>
      <c r="J415" s="53" t="str">
        <f t="shared" si="3"/>
        <v>Yes</v>
      </c>
      <c r="K415" s="53"/>
      <c r="L415" s="53"/>
      <c r="M415" s="18"/>
      <c r="N415" s="18"/>
      <c r="O415" s="18"/>
      <c r="P415" s="18"/>
      <c r="Q415" s="18"/>
      <c r="R415" s="18"/>
      <c r="S415" s="18"/>
      <c r="T415" s="18"/>
      <c r="U415" s="18"/>
      <c r="V415" s="18"/>
      <c r="W415" s="18"/>
      <c r="X415" s="18"/>
      <c r="Y415" s="18"/>
      <c r="Z415" s="18"/>
      <c r="AA415" s="18"/>
      <c r="AB415" s="18"/>
    </row>
    <row r="416" spans="1:28" ht="12.5" customHeight="1">
      <c r="A416" s="19">
        <v>415</v>
      </c>
      <c r="B416" s="53" t="s">
        <v>2052</v>
      </c>
      <c r="C416" s="53" t="s">
        <v>2028</v>
      </c>
      <c r="D416" s="54" t="s">
        <v>2053</v>
      </c>
      <c r="E416" s="53" t="s">
        <v>2054</v>
      </c>
      <c r="F416" s="53" t="s">
        <v>2055</v>
      </c>
      <c r="G416" s="53">
        <v>2016</v>
      </c>
      <c r="H416" s="53" t="s">
        <v>2056</v>
      </c>
      <c r="I416" s="53" t="str">
        <f t="shared" si="2"/>
        <v>Middle</v>
      </c>
      <c r="J416" s="53" t="str">
        <f t="shared" si="3"/>
        <v>Yes</v>
      </c>
      <c r="K416" s="53"/>
      <c r="L416" s="53"/>
      <c r="M416" s="18"/>
      <c r="N416" s="18"/>
      <c r="O416" s="18"/>
      <c r="P416" s="18"/>
      <c r="Q416" s="18"/>
      <c r="R416" s="18"/>
      <c r="S416" s="18"/>
      <c r="T416" s="18"/>
      <c r="U416" s="18"/>
      <c r="V416" s="18"/>
      <c r="W416" s="18"/>
      <c r="X416" s="18"/>
      <c r="Y416" s="18"/>
      <c r="Z416" s="18"/>
      <c r="AA416" s="18"/>
      <c r="AB416" s="18"/>
    </row>
    <row r="417" spans="1:28" ht="12.5" customHeight="1">
      <c r="A417" s="19">
        <v>416</v>
      </c>
      <c r="B417" s="53" t="s">
        <v>2057</v>
      </c>
      <c r="C417" s="53" t="s">
        <v>2028</v>
      </c>
      <c r="D417" s="54" t="s">
        <v>2058</v>
      </c>
      <c r="E417" s="53" t="s">
        <v>2059</v>
      </c>
      <c r="F417" s="53" t="s">
        <v>2060</v>
      </c>
      <c r="G417" s="53">
        <v>2016</v>
      </c>
      <c r="H417" s="53" t="s">
        <v>505</v>
      </c>
      <c r="I417" s="53" t="str">
        <f t="shared" si="2"/>
        <v>Middle</v>
      </c>
      <c r="J417" s="53" t="str">
        <f t="shared" si="3"/>
        <v>Yes</v>
      </c>
      <c r="K417" s="53"/>
      <c r="L417" s="53"/>
      <c r="M417" s="18"/>
      <c r="N417" s="18"/>
      <c r="O417" s="18"/>
      <c r="P417" s="18"/>
      <c r="Q417" s="18"/>
      <c r="R417" s="18"/>
      <c r="S417" s="18"/>
      <c r="T417" s="18"/>
      <c r="U417" s="18"/>
      <c r="V417" s="18"/>
      <c r="W417" s="18"/>
      <c r="X417" s="18"/>
      <c r="Y417" s="18"/>
      <c r="Z417" s="18"/>
      <c r="AA417" s="18"/>
      <c r="AB417" s="18"/>
    </row>
    <row r="418" spans="1:28" ht="12.5" customHeight="1">
      <c r="A418" s="19">
        <v>417</v>
      </c>
      <c r="B418" s="53" t="s">
        <v>2061</v>
      </c>
      <c r="C418" s="53" t="s">
        <v>2028</v>
      </c>
      <c r="D418" s="54" t="s">
        <v>2062</v>
      </c>
      <c r="E418" s="53" t="s">
        <v>2063</v>
      </c>
      <c r="F418" s="53" t="s">
        <v>316</v>
      </c>
      <c r="G418" s="53">
        <v>2013</v>
      </c>
      <c r="H418" s="53" t="s">
        <v>2064</v>
      </c>
      <c r="I418" s="53" t="str">
        <f t="shared" si="2"/>
        <v>Middle</v>
      </c>
      <c r="J418" s="53" t="str">
        <f t="shared" si="3"/>
        <v>Yes</v>
      </c>
      <c r="K418" s="53"/>
      <c r="L418" s="53"/>
      <c r="M418" s="18"/>
      <c r="N418" s="18"/>
      <c r="O418" s="18"/>
      <c r="P418" s="18"/>
      <c r="Q418" s="18"/>
      <c r="R418" s="18"/>
      <c r="S418" s="18"/>
      <c r="T418" s="18"/>
      <c r="U418" s="18"/>
      <c r="V418" s="18"/>
      <c r="W418" s="18"/>
      <c r="X418" s="18"/>
      <c r="Y418" s="18"/>
      <c r="Z418" s="18"/>
      <c r="AA418" s="18"/>
      <c r="AB418" s="18"/>
    </row>
    <row r="419" spans="1:28" ht="12.5" customHeight="1">
      <c r="A419" s="19">
        <v>418</v>
      </c>
      <c r="B419" s="53" t="s">
        <v>2065</v>
      </c>
      <c r="C419" s="53" t="s">
        <v>2028</v>
      </c>
      <c r="D419" s="54" t="s">
        <v>2066</v>
      </c>
      <c r="E419" s="53" t="s">
        <v>2067</v>
      </c>
      <c r="F419" s="53" t="s">
        <v>2068</v>
      </c>
      <c r="G419" s="53">
        <v>1994</v>
      </c>
      <c r="H419" s="53" t="s">
        <v>1085</v>
      </c>
      <c r="I419" s="53" t="str">
        <f t="shared" si="2"/>
        <v>Early</v>
      </c>
      <c r="J419" s="53" t="str">
        <f t="shared" si="3"/>
        <v>Yes</v>
      </c>
      <c r="K419" s="53"/>
      <c r="L419" s="53"/>
      <c r="M419" s="18"/>
      <c r="N419" s="18"/>
      <c r="O419" s="18"/>
      <c r="P419" s="18"/>
      <c r="Q419" s="18"/>
      <c r="R419" s="18"/>
      <c r="S419" s="18"/>
      <c r="T419" s="18"/>
      <c r="U419" s="18"/>
      <c r="V419" s="18"/>
      <c r="W419" s="18"/>
      <c r="X419" s="18"/>
      <c r="Y419" s="18"/>
      <c r="Z419" s="18"/>
      <c r="AA419" s="18"/>
      <c r="AB419" s="18"/>
    </row>
    <row r="420" spans="1:28" ht="12.5" customHeight="1">
      <c r="A420" s="19">
        <v>419</v>
      </c>
      <c r="B420" s="53" t="s">
        <v>2069</v>
      </c>
      <c r="C420" s="53" t="s">
        <v>2028</v>
      </c>
      <c r="D420" s="54" t="s">
        <v>2070</v>
      </c>
      <c r="E420" s="53" t="s">
        <v>2071</v>
      </c>
      <c r="F420" s="53" t="s">
        <v>2072</v>
      </c>
      <c r="G420" s="53">
        <v>2005</v>
      </c>
      <c r="H420" s="53" t="s">
        <v>2032</v>
      </c>
      <c r="I420" s="53" t="str">
        <f t="shared" si="2"/>
        <v>Early</v>
      </c>
      <c r="J420" s="53" t="str">
        <f t="shared" si="3"/>
        <v>Yes</v>
      </c>
      <c r="K420" s="53"/>
      <c r="L420" s="53"/>
      <c r="M420" s="18"/>
      <c r="N420" s="18"/>
      <c r="O420" s="18"/>
      <c r="P420" s="18"/>
      <c r="Q420" s="18"/>
      <c r="R420" s="18"/>
      <c r="S420" s="18"/>
      <c r="T420" s="18"/>
      <c r="U420" s="18"/>
      <c r="V420" s="18"/>
      <c r="W420" s="18"/>
      <c r="X420" s="18"/>
      <c r="Y420" s="18"/>
      <c r="Z420" s="18"/>
      <c r="AA420" s="18"/>
      <c r="AB420" s="18"/>
    </row>
    <row r="421" spans="1:28" ht="12.5" customHeight="1">
      <c r="A421" s="19">
        <v>420</v>
      </c>
      <c r="B421" s="53" t="s">
        <v>2073</v>
      </c>
      <c r="C421" s="53" t="s">
        <v>2028</v>
      </c>
      <c r="D421" s="54" t="s">
        <v>2074</v>
      </c>
      <c r="E421" s="53" t="s">
        <v>2075</v>
      </c>
      <c r="F421" s="53" t="s">
        <v>2076</v>
      </c>
      <c r="G421" s="53">
        <v>2003</v>
      </c>
      <c r="H421" s="53" t="s">
        <v>2032</v>
      </c>
      <c r="I421" s="53" t="str">
        <f t="shared" si="2"/>
        <v>Early</v>
      </c>
      <c r="J421" s="53" t="str">
        <f t="shared" si="3"/>
        <v>Yes</v>
      </c>
      <c r="K421" s="53"/>
      <c r="L421" s="53"/>
      <c r="M421" s="18"/>
      <c r="N421" s="18"/>
      <c r="O421" s="18"/>
      <c r="P421" s="18"/>
      <c r="Q421" s="18"/>
      <c r="R421" s="18"/>
      <c r="S421" s="18"/>
      <c r="T421" s="18"/>
      <c r="U421" s="18"/>
      <c r="V421" s="18"/>
      <c r="W421" s="18"/>
      <c r="X421" s="18"/>
      <c r="Y421" s="18"/>
      <c r="Z421" s="18"/>
      <c r="AA421" s="18"/>
      <c r="AB421" s="18"/>
    </row>
    <row r="422" spans="1:28" ht="12.5" customHeight="1">
      <c r="A422" s="19">
        <v>421</v>
      </c>
      <c r="B422" s="53" t="s">
        <v>2077</v>
      </c>
      <c r="C422" s="53" t="s">
        <v>2028</v>
      </c>
      <c r="D422" s="54" t="s">
        <v>2078</v>
      </c>
      <c r="E422" s="53" t="s">
        <v>2079</v>
      </c>
      <c r="F422" s="53" t="s">
        <v>2080</v>
      </c>
      <c r="G422" s="53">
        <v>1998</v>
      </c>
      <c r="H422" s="53" t="s">
        <v>2032</v>
      </c>
      <c r="I422" s="53" t="str">
        <f t="shared" si="2"/>
        <v>Early</v>
      </c>
      <c r="J422" s="53" t="str">
        <f t="shared" si="3"/>
        <v>Yes</v>
      </c>
      <c r="K422" s="53"/>
      <c r="L422" s="53"/>
      <c r="M422" s="18"/>
      <c r="N422" s="18"/>
      <c r="O422" s="18"/>
      <c r="P422" s="18"/>
      <c r="Q422" s="18"/>
      <c r="R422" s="18"/>
      <c r="S422" s="18"/>
      <c r="T422" s="18"/>
      <c r="U422" s="18"/>
      <c r="V422" s="18"/>
      <c r="W422" s="18"/>
      <c r="X422" s="18"/>
      <c r="Y422" s="18"/>
      <c r="Z422" s="18"/>
      <c r="AA422" s="18"/>
      <c r="AB422" s="18"/>
    </row>
    <row r="423" spans="1:28" ht="12.5" customHeight="1">
      <c r="A423" s="19">
        <v>422</v>
      </c>
      <c r="B423" s="53" t="s">
        <v>2081</v>
      </c>
      <c r="C423" s="53" t="s">
        <v>2028</v>
      </c>
      <c r="D423" s="54" t="s">
        <v>2082</v>
      </c>
      <c r="E423" s="53" t="s">
        <v>2083</v>
      </c>
      <c r="F423" s="53" t="s">
        <v>2084</v>
      </c>
      <c r="G423" s="53">
        <v>2017</v>
      </c>
      <c r="H423" s="53" t="s">
        <v>2085</v>
      </c>
      <c r="I423" s="53" t="str">
        <f t="shared" si="2"/>
        <v>Middle</v>
      </c>
      <c r="J423" s="53" t="str">
        <f t="shared" si="3"/>
        <v>Yes</v>
      </c>
      <c r="K423" s="53"/>
      <c r="L423" s="53"/>
      <c r="M423" s="18"/>
      <c r="N423" s="18"/>
      <c r="O423" s="18"/>
      <c r="P423" s="18"/>
      <c r="Q423" s="18"/>
      <c r="R423" s="18"/>
      <c r="S423" s="18"/>
      <c r="T423" s="18"/>
      <c r="U423" s="18"/>
      <c r="V423" s="18"/>
      <c r="W423" s="18"/>
      <c r="X423" s="18"/>
      <c r="Y423" s="18"/>
      <c r="Z423" s="18"/>
      <c r="AA423" s="18"/>
      <c r="AB423" s="18"/>
    </row>
    <row r="424" spans="1:28" ht="12.5" customHeight="1">
      <c r="A424" s="23">
        <v>423</v>
      </c>
      <c r="B424" s="23" t="s">
        <v>2086</v>
      </c>
      <c r="C424" s="23" t="s">
        <v>2028</v>
      </c>
      <c r="D424" s="23"/>
      <c r="E424" s="23" t="s">
        <v>2087</v>
      </c>
      <c r="F424" s="23" t="s">
        <v>2088</v>
      </c>
      <c r="G424" s="23">
        <v>2009</v>
      </c>
      <c r="H424" s="23" t="s">
        <v>2089</v>
      </c>
      <c r="I424" s="23" t="str">
        <f t="shared" si="2"/>
        <v>Early</v>
      </c>
      <c r="J424" s="23" t="str">
        <f t="shared" si="3"/>
        <v>No</v>
      </c>
      <c r="K424" s="23"/>
      <c r="L424" s="23"/>
      <c r="M424" s="23"/>
      <c r="N424" s="23"/>
      <c r="O424" s="23"/>
      <c r="P424" s="23"/>
      <c r="Q424" s="23"/>
      <c r="R424" s="23"/>
      <c r="S424" s="23"/>
      <c r="T424" s="23"/>
      <c r="U424" s="23"/>
      <c r="V424" s="23"/>
      <c r="W424" s="23"/>
      <c r="X424" s="23"/>
      <c r="Y424" s="23"/>
      <c r="Z424" s="23"/>
      <c r="AA424" s="23"/>
      <c r="AB424" s="23"/>
    </row>
    <row r="425" spans="1:28" ht="12.5" customHeight="1">
      <c r="A425" s="19">
        <v>424</v>
      </c>
      <c r="B425" s="53" t="s">
        <v>2090</v>
      </c>
      <c r="C425" s="53" t="s">
        <v>2028</v>
      </c>
      <c r="D425" s="54" t="s">
        <v>2091</v>
      </c>
      <c r="E425" s="53" t="s">
        <v>2092</v>
      </c>
      <c r="F425" s="53" t="s">
        <v>2093</v>
      </c>
      <c r="G425" s="53">
        <v>2015</v>
      </c>
      <c r="H425" s="53" t="s">
        <v>1029</v>
      </c>
      <c r="I425" s="53" t="str">
        <f t="shared" si="2"/>
        <v>Middle</v>
      </c>
      <c r="J425" s="53" t="str">
        <f t="shared" si="3"/>
        <v>Yes</v>
      </c>
      <c r="K425" s="53"/>
      <c r="L425" s="53"/>
      <c r="M425" s="18"/>
      <c r="N425" s="18"/>
      <c r="O425" s="18"/>
      <c r="P425" s="18"/>
      <c r="Q425" s="18"/>
      <c r="R425" s="18"/>
      <c r="S425" s="18"/>
      <c r="T425" s="18"/>
      <c r="U425" s="18"/>
      <c r="V425" s="18"/>
      <c r="W425" s="18"/>
      <c r="X425" s="18"/>
      <c r="Y425" s="18"/>
      <c r="Z425" s="18"/>
      <c r="AA425" s="18"/>
      <c r="AB425" s="18"/>
    </row>
    <row r="426" spans="1:28" ht="12.5" customHeight="1">
      <c r="A426" s="19">
        <v>425</v>
      </c>
      <c r="B426" s="53" t="s">
        <v>2094</v>
      </c>
      <c r="C426" s="53" t="s">
        <v>2028</v>
      </c>
      <c r="D426" s="54" t="s">
        <v>2095</v>
      </c>
      <c r="E426" s="53" t="s">
        <v>2096</v>
      </c>
      <c r="F426" s="53" t="s">
        <v>2097</v>
      </c>
      <c r="G426" s="53">
        <v>2015</v>
      </c>
      <c r="H426" s="53" t="s">
        <v>713</v>
      </c>
      <c r="I426" s="53" t="str">
        <f t="shared" si="2"/>
        <v>Middle</v>
      </c>
      <c r="J426" s="53" t="str">
        <f t="shared" si="3"/>
        <v>Yes</v>
      </c>
      <c r="K426" s="53"/>
      <c r="L426" s="53"/>
      <c r="M426" s="18"/>
      <c r="N426" s="18"/>
      <c r="O426" s="18"/>
      <c r="P426" s="18"/>
      <c r="Q426" s="18"/>
      <c r="R426" s="18"/>
      <c r="S426" s="18"/>
      <c r="T426" s="18"/>
      <c r="U426" s="18"/>
      <c r="V426" s="18"/>
      <c r="W426" s="18"/>
      <c r="X426" s="18"/>
      <c r="Y426" s="18"/>
      <c r="Z426" s="18"/>
      <c r="AA426" s="18"/>
      <c r="AB426" s="18"/>
    </row>
    <row r="427" spans="1:28" ht="12.5" customHeight="1">
      <c r="A427" s="19">
        <v>426</v>
      </c>
      <c r="B427" s="53" t="s">
        <v>2098</v>
      </c>
      <c r="C427" s="53" t="s">
        <v>2028</v>
      </c>
      <c r="D427" s="54" t="s">
        <v>2099</v>
      </c>
      <c r="E427" s="53" t="s">
        <v>2100</v>
      </c>
      <c r="F427" s="53" t="s">
        <v>2101</v>
      </c>
      <c r="G427" s="53">
        <v>2016</v>
      </c>
      <c r="H427" s="53" t="s">
        <v>1131</v>
      </c>
      <c r="I427" s="53" t="str">
        <f t="shared" si="2"/>
        <v>Middle</v>
      </c>
      <c r="J427" s="53" t="str">
        <f t="shared" si="3"/>
        <v>Yes</v>
      </c>
      <c r="K427" s="53"/>
      <c r="L427" s="53"/>
      <c r="M427" s="18"/>
      <c r="N427" s="18"/>
      <c r="O427" s="18"/>
      <c r="P427" s="18"/>
      <c r="Q427" s="18"/>
      <c r="R427" s="18"/>
      <c r="S427" s="18"/>
      <c r="T427" s="18"/>
      <c r="U427" s="18"/>
      <c r="V427" s="18"/>
      <c r="W427" s="18"/>
      <c r="X427" s="18"/>
      <c r="Y427" s="18"/>
      <c r="Z427" s="18"/>
      <c r="AA427" s="18"/>
      <c r="AB427" s="18"/>
    </row>
    <row r="428" spans="1:28" ht="12.5" customHeight="1">
      <c r="A428" s="19">
        <v>427</v>
      </c>
      <c r="B428" s="53" t="s">
        <v>2102</v>
      </c>
      <c r="C428" s="53" t="s">
        <v>2028</v>
      </c>
      <c r="D428" s="54" t="s">
        <v>2103</v>
      </c>
      <c r="E428" s="53" t="s">
        <v>2104</v>
      </c>
      <c r="F428" s="53" t="s">
        <v>2105</v>
      </c>
      <c r="G428" s="53">
        <v>2015</v>
      </c>
      <c r="H428" s="53" t="s">
        <v>2106</v>
      </c>
      <c r="I428" s="53" t="str">
        <f t="shared" si="2"/>
        <v>Middle</v>
      </c>
      <c r="J428" s="53" t="str">
        <f t="shared" si="3"/>
        <v>Yes</v>
      </c>
      <c r="K428" s="53"/>
      <c r="L428" s="53"/>
      <c r="M428" s="18"/>
      <c r="N428" s="18"/>
      <c r="O428" s="18"/>
      <c r="P428" s="18"/>
      <c r="Q428" s="18"/>
      <c r="R428" s="18"/>
      <c r="S428" s="18"/>
      <c r="T428" s="18"/>
      <c r="U428" s="18"/>
      <c r="V428" s="18"/>
      <c r="W428" s="18"/>
      <c r="X428" s="18"/>
      <c r="Y428" s="18"/>
      <c r="Z428" s="18"/>
      <c r="AA428" s="18"/>
      <c r="AB428" s="18"/>
    </row>
    <row r="429" spans="1:28" ht="12.5" customHeight="1">
      <c r="A429" s="19">
        <v>428</v>
      </c>
      <c r="B429" s="53" t="s">
        <v>2107</v>
      </c>
      <c r="C429" s="53" t="s">
        <v>2028</v>
      </c>
      <c r="D429" s="54" t="s">
        <v>2108</v>
      </c>
      <c r="E429" s="53" t="s">
        <v>2109</v>
      </c>
      <c r="F429" s="53" t="s">
        <v>2110</v>
      </c>
      <c r="G429" s="53">
        <v>2012</v>
      </c>
      <c r="H429" s="53" t="s">
        <v>2032</v>
      </c>
      <c r="I429" s="53" t="str">
        <f t="shared" si="2"/>
        <v>Middle</v>
      </c>
      <c r="J429" s="53" t="str">
        <f t="shared" si="3"/>
        <v>Yes</v>
      </c>
      <c r="K429" s="53"/>
      <c r="L429" s="53"/>
      <c r="M429" s="18"/>
      <c r="N429" s="18"/>
      <c r="O429" s="18"/>
      <c r="P429" s="18"/>
      <c r="Q429" s="18"/>
      <c r="R429" s="18"/>
      <c r="S429" s="18"/>
      <c r="T429" s="18"/>
      <c r="U429" s="18"/>
      <c r="V429" s="18"/>
      <c r="W429" s="18"/>
      <c r="X429" s="18"/>
      <c r="Y429" s="18"/>
      <c r="Z429" s="18"/>
      <c r="AA429" s="18"/>
      <c r="AB429" s="18"/>
    </row>
    <row r="430" spans="1:28" ht="12.5" customHeight="1">
      <c r="A430" s="19">
        <v>429</v>
      </c>
      <c r="B430" s="53" t="s">
        <v>2111</v>
      </c>
      <c r="C430" s="53" t="s">
        <v>2028</v>
      </c>
      <c r="D430" s="54" t="s">
        <v>2112</v>
      </c>
      <c r="E430" s="53" t="s">
        <v>2113</v>
      </c>
      <c r="F430" s="53" t="s">
        <v>2114</v>
      </c>
      <c r="G430" s="53">
        <v>2012</v>
      </c>
      <c r="H430" s="53" t="s">
        <v>2115</v>
      </c>
      <c r="I430" s="53" t="str">
        <f t="shared" si="2"/>
        <v>Middle</v>
      </c>
      <c r="J430" s="53" t="str">
        <f t="shared" si="3"/>
        <v>Yes</v>
      </c>
      <c r="K430" s="53"/>
      <c r="L430" s="53"/>
      <c r="M430" s="18"/>
      <c r="N430" s="18"/>
      <c r="O430" s="18"/>
      <c r="P430" s="18"/>
      <c r="Q430" s="18"/>
      <c r="R430" s="18"/>
      <c r="S430" s="18"/>
      <c r="T430" s="18"/>
      <c r="U430" s="18"/>
      <c r="V430" s="18"/>
      <c r="W430" s="18"/>
      <c r="X430" s="18"/>
      <c r="Y430" s="18"/>
      <c r="Z430" s="18"/>
      <c r="AA430" s="18"/>
      <c r="AB430" s="18"/>
    </row>
    <row r="431" spans="1:28" ht="12.5" customHeight="1">
      <c r="A431" s="23">
        <v>430</v>
      </c>
      <c r="B431" s="23" t="s">
        <v>2116</v>
      </c>
      <c r="C431" s="23" t="s">
        <v>2028</v>
      </c>
      <c r="D431" s="23"/>
      <c r="E431" s="23" t="s">
        <v>2117</v>
      </c>
      <c r="F431" s="23" t="s">
        <v>2118</v>
      </c>
      <c r="G431" s="23">
        <v>2012</v>
      </c>
      <c r="H431" s="23" t="s">
        <v>2119</v>
      </c>
      <c r="I431" s="23" t="str">
        <f t="shared" si="2"/>
        <v>Middle</v>
      </c>
      <c r="J431" s="23" t="str">
        <f t="shared" si="3"/>
        <v>No</v>
      </c>
      <c r="K431" s="23"/>
      <c r="L431" s="23"/>
      <c r="M431" s="23"/>
      <c r="N431" s="23"/>
      <c r="O431" s="23"/>
      <c r="P431" s="23"/>
      <c r="Q431" s="23"/>
      <c r="R431" s="23"/>
      <c r="S431" s="23"/>
      <c r="T431" s="23"/>
      <c r="U431" s="23"/>
      <c r="V431" s="23"/>
      <c r="W431" s="23"/>
      <c r="X431" s="23"/>
      <c r="Y431" s="23"/>
      <c r="Z431" s="23"/>
      <c r="AA431" s="23"/>
      <c r="AB431" s="23"/>
    </row>
    <row r="432" spans="1:28" ht="12.5" customHeight="1">
      <c r="A432" s="19">
        <v>431</v>
      </c>
      <c r="B432" s="53" t="s">
        <v>2120</v>
      </c>
      <c r="C432" s="53" t="s">
        <v>2028</v>
      </c>
      <c r="D432" s="54" t="s">
        <v>2121</v>
      </c>
      <c r="E432" s="53" t="s">
        <v>2122</v>
      </c>
      <c r="F432" s="53" t="s">
        <v>2118</v>
      </c>
      <c r="G432" s="53">
        <v>2004</v>
      </c>
      <c r="H432" s="53" t="s">
        <v>264</v>
      </c>
      <c r="I432" s="53" t="str">
        <f t="shared" si="2"/>
        <v>Early</v>
      </c>
      <c r="J432" s="53" t="str">
        <f t="shared" si="3"/>
        <v>Yes</v>
      </c>
      <c r="K432" s="53"/>
      <c r="L432" s="53"/>
      <c r="M432" s="18"/>
      <c r="N432" s="18"/>
      <c r="O432" s="18"/>
      <c r="P432" s="18"/>
      <c r="Q432" s="18"/>
      <c r="R432" s="18"/>
      <c r="S432" s="18"/>
      <c r="T432" s="18"/>
      <c r="U432" s="18"/>
      <c r="V432" s="18"/>
      <c r="W432" s="18"/>
      <c r="X432" s="18"/>
      <c r="Y432" s="18"/>
      <c r="Z432" s="18"/>
      <c r="AA432" s="18"/>
      <c r="AB432" s="18"/>
    </row>
    <row r="433" spans="1:28" ht="12.5" customHeight="1">
      <c r="A433" s="19">
        <v>432</v>
      </c>
      <c r="B433" s="53" t="s">
        <v>2123</v>
      </c>
      <c r="C433" s="53" t="s">
        <v>2028</v>
      </c>
      <c r="D433" s="54" t="s">
        <v>2124</v>
      </c>
      <c r="E433" s="53" t="s">
        <v>2125</v>
      </c>
      <c r="F433" s="53" t="s">
        <v>2126</v>
      </c>
      <c r="G433" s="53">
        <v>2009</v>
      </c>
      <c r="H433" s="53" t="s">
        <v>2064</v>
      </c>
      <c r="I433" s="53" t="str">
        <f t="shared" si="2"/>
        <v>Early</v>
      </c>
      <c r="J433" s="53" t="str">
        <f t="shared" si="3"/>
        <v>Yes</v>
      </c>
      <c r="K433" s="53"/>
      <c r="L433" s="53"/>
      <c r="M433" s="18"/>
      <c r="N433" s="18"/>
      <c r="O433" s="18"/>
      <c r="P433" s="18"/>
      <c r="Q433" s="18"/>
      <c r="R433" s="18"/>
      <c r="S433" s="18"/>
      <c r="T433" s="18"/>
      <c r="U433" s="18"/>
      <c r="V433" s="18"/>
      <c r="W433" s="18"/>
      <c r="X433" s="18"/>
      <c r="Y433" s="18"/>
      <c r="Z433" s="18"/>
      <c r="AA433" s="18"/>
      <c r="AB433" s="18"/>
    </row>
    <row r="434" spans="1:28" ht="12.5" customHeight="1">
      <c r="A434" s="19">
        <v>433</v>
      </c>
      <c r="B434" s="53" t="s">
        <v>2127</v>
      </c>
      <c r="C434" s="53" t="s">
        <v>2028</v>
      </c>
      <c r="D434" s="54" t="s">
        <v>2128</v>
      </c>
      <c r="E434" s="53" t="s">
        <v>2129</v>
      </c>
      <c r="F434" s="53" t="s">
        <v>2130</v>
      </c>
      <c r="G434" s="53">
        <v>2015</v>
      </c>
      <c r="H434" s="53" t="s">
        <v>2064</v>
      </c>
      <c r="I434" s="53" t="str">
        <f t="shared" si="2"/>
        <v>Middle</v>
      </c>
      <c r="J434" s="53" t="str">
        <f t="shared" si="3"/>
        <v>Yes</v>
      </c>
      <c r="K434" s="53"/>
      <c r="L434" s="53"/>
      <c r="M434" s="18"/>
      <c r="N434" s="18"/>
      <c r="O434" s="18"/>
      <c r="P434" s="18"/>
      <c r="Q434" s="18"/>
      <c r="R434" s="18"/>
      <c r="S434" s="18"/>
      <c r="T434" s="18"/>
      <c r="U434" s="18"/>
      <c r="V434" s="18"/>
      <c r="W434" s="18"/>
      <c r="X434" s="18"/>
      <c r="Y434" s="18"/>
      <c r="Z434" s="18"/>
      <c r="AA434" s="18"/>
      <c r="AB434" s="18"/>
    </row>
    <row r="435" spans="1:28" ht="12.5" customHeight="1">
      <c r="A435" s="19">
        <v>434</v>
      </c>
      <c r="B435" s="53" t="s">
        <v>2131</v>
      </c>
      <c r="C435" s="53" t="s">
        <v>2028</v>
      </c>
      <c r="D435" s="54" t="s">
        <v>2132</v>
      </c>
      <c r="E435" s="53" t="s">
        <v>2133</v>
      </c>
      <c r="F435" s="53" t="s">
        <v>2134</v>
      </c>
      <c r="G435" s="53">
        <v>2015</v>
      </c>
      <c r="H435" s="53" t="s">
        <v>2135</v>
      </c>
      <c r="I435" s="53" t="str">
        <f t="shared" si="2"/>
        <v>Middle</v>
      </c>
      <c r="J435" s="53" t="str">
        <f t="shared" si="3"/>
        <v>Yes</v>
      </c>
      <c r="K435" s="53"/>
      <c r="L435" s="53"/>
      <c r="M435" s="18"/>
      <c r="N435" s="18"/>
      <c r="O435" s="18"/>
      <c r="P435" s="18"/>
      <c r="Q435" s="18"/>
      <c r="R435" s="18"/>
      <c r="S435" s="18"/>
      <c r="T435" s="18"/>
      <c r="U435" s="18"/>
      <c r="V435" s="18"/>
      <c r="W435" s="18"/>
      <c r="X435" s="18"/>
      <c r="Y435" s="18"/>
      <c r="Z435" s="18"/>
      <c r="AA435" s="18"/>
      <c r="AB435" s="18"/>
    </row>
    <row r="436" spans="1:28" ht="12.5" customHeight="1">
      <c r="A436" s="19">
        <v>435</v>
      </c>
      <c r="B436" s="53" t="s">
        <v>2136</v>
      </c>
      <c r="C436" s="53" t="s">
        <v>2028</v>
      </c>
      <c r="D436" s="54" t="s">
        <v>2137</v>
      </c>
      <c r="E436" s="53" t="s">
        <v>2138</v>
      </c>
      <c r="F436" s="53" t="s">
        <v>2139</v>
      </c>
      <c r="G436" s="53">
        <v>2019</v>
      </c>
      <c r="H436" s="53" t="s">
        <v>2140</v>
      </c>
      <c r="I436" s="53" t="str">
        <f t="shared" si="2"/>
        <v>Recent</v>
      </c>
      <c r="J436" s="53" t="str">
        <f t="shared" si="3"/>
        <v>Yes</v>
      </c>
      <c r="K436" s="53"/>
      <c r="L436" s="53"/>
      <c r="M436" s="18"/>
      <c r="N436" s="18"/>
      <c r="O436" s="18"/>
      <c r="P436" s="18"/>
      <c r="Q436" s="18"/>
      <c r="R436" s="18"/>
      <c r="S436" s="18"/>
      <c r="T436" s="18"/>
      <c r="U436" s="18"/>
      <c r="V436" s="18"/>
      <c r="W436" s="18"/>
      <c r="X436" s="18"/>
      <c r="Y436" s="18"/>
      <c r="Z436" s="18"/>
      <c r="AA436" s="18"/>
      <c r="AB436" s="18"/>
    </row>
    <row r="437" spans="1:28" ht="12.5" customHeight="1">
      <c r="A437" s="19">
        <v>436</v>
      </c>
      <c r="B437" s="53" t="s">
        <v>2141</v>
      </c>
      <c r="C437" s="53" t="s">
        <v>2028</v>
      </c>
      <c r="D437" s="54" t="s">
        <v>2142</v>
      </c>
      <c r="E437" s="53" t="s">
        <v>2143</v>
      </c>
      <c r="F437" s="53" t="s">
        <v>2144</v>
      </c>
      <c r="G437" s="53">
        <v>2010</v>
      </c>
      <c r="H437" s="53" t="s">
        <v>1085</v>
      </c>
      <c r="I437" s="53" t="str">
        <f t="shared" si="2"/>
        <v>Middle</v>
      </c>
      <c r="J437" s="53" t="str">
        <f t="shared" si="3"/>
        <v>Yes</v>
      </c>
      <c r="K437" s="53"/>
      <c r="L437" s="53"/>
      <c r="M437" s="18"/>
      <c r="N437" s="18"/>
      <c r="O437" s="18"/>
      <c r="P437" s="18"/>
      <c r="Q437" s="18"/>
      <c r="R437" s="18"/>
      <c r="S437" s="18"/>
      <c r="T437" s="18"/>
      <c r="U437" s="18"/>
      <c r="V437" s="18"/>
      <c r="W437" s="18"/>
      <c r="X437" s="18"/>
      <c r="Y437" s="18"/>
      <c r="Z437" s="18"/>
      <c r="AA437" s="18"/>
      <c r="AB437" s="18"/>
    </row>
    <row r="438" spans="1:28" ht="12.5" customHeight="1">
      <c r="A438" s="19">
        <v>437</v>
      </c>
      <c r="B438" s="53" t="s">
        <v>2145</v>
      </c>
      <c r="C438" s="53" t="s">
        <v>2028</v>
      </c>
      <c r="D438" s="54" t="s">
        <v>2146</v>
      </c>
      <c r="E438" s="53" t="s">
        <v>2147</v>
      </c>
      <c r="F438" s="53" t="s">
        <v>2148</v>
      </c>
      <c r="G438" s="53">
        <v>2014</v>
      </c>
      <c r="H438" s="53" t="s">
        <v>2032</v>
      </c>
      <c r="I438" s="53" t="str">
        <f t="shared" si="2"/>
        <v>Middle</v>
      </c>
      <c r="J438" s="53" t="str">
        <f t="shared" si="3"/>
        <v>Yes</v>
      </c>
      <c r="K438" s="53"/>
      <c r="L438" s="53"/>
      <c r="M438" s="18"/>
      <c r="N438" s="18"/>
      <c r="O438" s="18"/>
      <c r="P438" s="18"/>
      <c r="Q438" s="18"/>
      <c r="R438" s="18"/>
      <c r="S438" s="18"/>
      <c r="T438" s="18"/>
      <c r="U438" s="18"/>
      <c r="V438" s="18"/>
      <c r="W438" s="18"/>
      <c r="X438" s="18"/>
      <c r="Y438" s="18"/>
      <c r="Z438" s="18"/>
      <c r="AA438" s="18"/>
      <c r="AB438" s="18"/>
    </row>
    <row r="439" spans="1:28" ht="12.5" customHeight="1">
      <c r="A439" s="19">
        <v>438</v>
      </c>
      <c r="B439" s="53" t="s">
        <v>2149</v>
      </c>
      <c r="C439" s="53" t="s">
        <v>2028</v>
      </c>
      <c r="D439" s="54" t="s">
        <v>2150</v>
      </c>
      <c r="E439" s="53" t="s">
        <v>2151</v>
      </c>
      <c r="F439" s="53" t="s">
        <v>2152</v>
      </c>
      <c r="G439" s="53">
        <v>2010</v>
      </c>
      <c r="H439" s="53" t="s">
        <v>2064</v>
      </c>
      <c r="I439" s="53" t="str">
        <f t="shared" si="2"/>
        <v>Middle</v>
      </c>
      <c r="J439" s="53" t="str">
        <f t="shared" si="3"/>
        <v>Yes</v>
      </c>
      <c r="K439" s="53"/>
      <c r="L439" s="53"/>
      <c r="M439" s="18"/>
      <c r="N439" s="18"/>
      <c r="O439" s="18"/>
      <c r="P439" s="18"/>
      <c r="Q439" s="18"/>
      <c r="R439" s="18"/>
      <c r="S439" s="18"/>
      <c r="T439" s="18"/>
      <c r="U439" s="18"/>
      <c r="V439" s="18"/>
      <c r="W439" s="18"/>
      <c r="X439" s="18"/>
      <c r="Y439" s="18"/>
      <c r="Z439" s="18"/>
      <c r="AA439" s="18"/>
      <c r="AB439" s="18"/>
    </row>
    <row r="440" spans="1:28" ht="12.5" customHeight="1">
      <c r="A440" s="19">
        <v>439</v>
      </c>
      <c r="B440" s="53" t="s">
        <v>2153</v>
      </c>
      <c r="C440" s="53" t="s">
        <v>2028</v>
      </c>
      <c r="D440" s="54" t="s">
        <v>2154</v>
      </c>
      <c r="E440" s="53" t="s">
        <v>2155</v>
      </c>
      <c r="F440" s="53" t="s">
        <v>2156</v>
      </c>
      <c r="G440" s="53">
        <v>2009</v>
      </c>
      <c r="H440" s="53" t="s">
        <v>713</v>
      </c>
      <c r="I440" s="53" t="str">
        <f t="shared" si="2"/>
        <v>Early</v>
      </c>
      <c r="J440" s="53" t="str">
        <f t="shared" si="3"/>
        <v>Yes</v>
      </c>
      <c r="K440" s="53"/>
      <c r="L440" s="53"/>
      <c r="M440" s="18"/>
      <c r="N440" s="18"/>
      <c r="O440" s="18"/>
      <c r="P440" s="18"/>
      <c r="Q440" s="18"/>
      <c r="R440" s="18"/>
      <c r="S440" s="18"/>
      <c r="T440" s="18"/>
      <c r="U440" s="18"/>
      <c r="V440" s="18"/>
      <c r="W440" s="18"/>
      <c r="X440" s="18"/>
      <c r="Y440" s="18"/>
      <c r="Z440" s="18"/>
      <c r="AA440" s="18"/>
      <c r="AB440" s="18"/>
    </row>
    <row r="441" spans="1:28" ht="12.5" customHeight="1">
      <c r="A441" s="19">
        <v>440</v>
      </c>
      <c r="B441" s="53" t="s">
        <v>2157</v>
      </c>
      <c r="C441" s="53" t="s">
        <v>2028</v>
      </c>
      <c r="D441" s="54" t="s">
        <v>2158</v>
      </c>
      <c r="E441" s="53" t="s">
        <v>2159</v>
      </c>
      <c r="F441" s="53" t="s">
        <v>2160</v>
      </c>
      <c r="G441" s="53">
        <v>2012</v>
      </c>
      <c r="H441" s="53" t="s">
        <v>2041</v>
      </c>
      <c r="I441" s="53" t="str">
        <f t="shared" si="2"/>
        <v>Middle</v>
      </c>
      <c r="J441" s="53" t="str">
        <f t="shared" si="3"/>
        <v>Yes</v>
      </c>
      <c r="K441" s="53"/>
      <c r="L441" s="53"/>
      <c r="M441" s="18"/>
      <c r="N441" s="18"/>
      <c r="O441" s="18"/>
      <c r="P441" s="18"/>
      <c r="Q441" s="18"/>
      <c r="R441" s="18"/>
      <c r="S441" s="18"/>
      <c r="T441" s="18"/>
      <c r="U441" s="18"/>
      <c r="V441" s="18"/>
      <c r="W441" s="18"/>
      <c r="X441" s="18"/>
      <c r="Y441" s="18"/>
      <c r="Z441" s="18"/>
      <c r="AA441" s="18"/>
      <c r="AB441" s="18"/>
    </row>
    <row r="442" spans="1:28" ht="12.5" customHeight="1">
      <c r="A442" s="19">
        <v>441</v>
      </c>
      <c r="B442" s="53" t="s">
        <v>2161</v>
      </c>
      <c r="C442" s="53" t="s">
        <v>2028</v>
      </c>
      <c r="D442" s="54" t="s">
        <v>2162</v>
      </c>
      <c r="E442" s="53" t="s">
        <v>2163</v>
      </c>
      <c r="F442" s="53" t="s">
        <v>2164</v>
      </c>
      <c r="G442" s="53">
        <v>2004</v>
      </c>
      <c r="H442" s="53" t="s">
        <v>2165</v>
      </c>
      <c r="I442" s="53" t="str">
        <f t="shared" si="2"/>
        <v>Early</v>
      </c>
      <c r="J442" s="53" t="str">
        <f t="shared" si="3"/>
        <v>Yes</v>
      </c>
      <c r="K442" s="53"/>
      <c r="L442" s="53"/>
      <c r="M442" s="18"/>
      <c r="N442" s="18"/>
      <c r="O442" s="18"/>
      <c r="P442" s="18"/>
      <c r="Q442" s="18"/>
      <c r="R442" s="18"/>
      <c r="S442" s="18"/>
      <c r="T442" s="18"/>
      <c r="U442" s="18"/>
      <c r="V442" s="18"/>
      <c r="W442" s="18"/>
      <c r="X442" s="18"/>
      <c r="Y442" s="18"/>
      <c r="Z442" s="18"/>
      <c r="AA442" s="18"/>
      <c r="AB442" s="18"/>
    </row>
    <row r="443" spans="1:28" ht="12.5" customHeight="1">
      <c r="A443" s="19">
        <v>442</v>
      </c>
      <c r="B443" s="53" t="s">
        <v>2166</v>
      </c>
      <c r="C443" s="53" t="s">
        <v>2028</v>
      </c>
      <c r="D443" s="54" t="s">
        <v>2167</v>
      </c>
      <c r="E443" s="53" t="s">
        <v>2168</v>
      </c>
      <c r="F443" s="53" t="s">
        <v>2169</v>
      </c>
      <c r="G443" s="53">
        <v>2018</v>
      </c>
      <c r="H443" s="53" t="s">
        <v>2170</v>
      </c>
      <c r="I443" s="53" t="str">
        <f t="shared" si="2"/>
        <v>Recent</v>
      </c>
      <c r="J443" s="53" t="str">
        <f t="shared" si="3"/>
        <v>Yes</v>
      </c>
      <c r="K443" s="53"/>
      <c r="L443" s="53"/>
      <c r="M443" s="18"/>
      <c r="N443" s="18"/>
      <c r="O443" s="18"/>
      <c r="P443" s="18"/>
      <c r="Q443" s="18"/>
      <c r="R443" s="18"/>
      <c r="S443" s="18"/>
      <c r="T443" s="18"/>
      <c r="U443" s="18"/>
      <c r="V443" s="18"/>
      <c r="W443" s="18"/>
      <c r="X443" s="18"/>
      <c r="Y443" s="18"/>
      <c r="Z443" s="18"/>
      <c r="AA443" s="18"/>
      <c r="AB443" s="18"/>
    </row>
    <row r="444" spans="1:28" ht="12.5" customHeight="1">
      <c r="A444" s="19">
        <v>443</v>
      </c>
      <c r="B444" s="53" t="s">
        <v>2171</v>
      </c>
      <c r="C444" s="53" t="s">
        <v>2028</v>
      </c>
      <c r="D444" s="54" t="s">
        <v>2172</v>
      </c>
      <c r="E444" s="53" t="s">
        <v>2173</v>
      </c>
      <c r="F444" s="53" t="s">
        <v>2174</v>
      </c>
      <c r="G444" s="53">
        <v>2012</v>
      </c>
      <c r="H444" s="53" t="s">
        <v>2170</v>
      </c>
      <c r="I444" s="53" t="str">
        <f t="shared" si="2"/>
        <v>Middle</v>
      </c>
      <c r="J444" s="53" t="str">
        <f t="shared" si="3"/>
        <v>Yes</v>
      </c>
      <c r="K444" s="53"/>
      <c r="L444" s="53"/>
      <c r="M444" s="18"/>
      <c r="N444" s="18"/>
      <c r="O444" s="18"/>
      <c r="P444" s="18"/>
      <c r="Q444" s="18"/>
      <c r="R444" s="18"/>
      <c r="S444" s="18"/>
      <c r="T444" s="18"/>
      <c r="U444" s="18"/>
      <c r="V444" s="18"/>
      <c r="W444" s="18"/>
      <c r="X444" s="18"/>
      <c r="Y444" s="18"/>
      <c r="Z444" s="18"/>
      <c r="AA444" s="18"/>
      <c r="AB444" s="18"/>
    </row>
    <row r="445" spans="1:28" ht="12.5" customHeight="1">
      <c r="A445" s="19">
        <v>444</v>
      </c>
      <c r="B445" s="53" t="s">
        <v>2175</v>
      </c>
      <c r="C445" s="53" t="s">
        <v>2028</v>
      </c>
      <c r="D445" s="54" t="s">
        <v>2176</v>
      </c>
      <c r="E445" s="53" t="s">
        <v>2177</v>
      </c>
      <c r="F445" s="53" t="s">
        <v>2178</v>
      </c>
      <c r="G445" s="53">
        <v>2015</v>
      </c>
      <c r="H445" s="53" t="s">
        <v>1212</v>
      </c>
      <c r="I445" s="53" t="str">
        <f t="shared" si="2"/>
        <v>Middle</v>
      </c>
      <c r="J445" s="53" t="str">
        <f t="shared" si="3"/>
        <v>Yes</v>
      </c>
      <c r="K445" s="53"/>
      <c r="L445" s="53"/>
      <c r="M445" s="18"/>
      <c r="N445" s="18"/>
      <c r="O445" s="18"/>
      <c r="P445" s="18"/>
      <c r="Q445" s="18"/>
      <c r="R445" s="18"/>
      <c r="S445" s="18"/>
      <c r="T445" s="18"/>
      <c r="U445" s="18"/>
      <c r="V445" s="18"/>
      <c r="W445" s="18"/>
      <c r="X445" s="18"/>
      <c r="Y445" s="18"/>
      <c r="Z445" s="18"/>
      <c r="AA445" s="18"/>
      <c r="AB445" s="18"/>
    </row>
    <row r="446" spans="1:28" ht="12.5" customHeight="1">
      <c r="A446" s="19">
        <v>445</v>
      </c>
      <c r="B446" s="53" t="s">
        <v>2179</v>
      </c>
      <c r="C446" s="53" t="s">
        <v>2028</v>
      </c>
      <c r="D446" s="54" t="s">
        <v>2180</v>
      </c>
      <c r="E446" s="53" t="s">
        <v>2181</v>
      </c>
      <c r="F446" s="53" t="s">
        <v>2182</v>
      </c>
      <c r="G446" s="53">
        <v>2013</v>
      </c>
      <c r="H446" s="53" t="s">
        <v>1085</v>
      </c>
      <c r="I446" s="53" t="str">
        <f t="shared" si="2"/>
        <v>Middle</v>
      </c>
      <c r="J446" s="53" t="str">
        <f t="shared" si="3"/>
        <v>Yes</v>
      </c>
      <c r="K446" s="53"/>
      <c r="L446" s="53"/>
      <c r="M446" s="18"/>
      <c r="N446" s="18"/>
      <c r="O446" s="18"/>
      <c r="P446" s="18"/>
      <c r="Q446" s="18"/>
      <c r="R446" s="18"/>
      <c r="S446" s="18"/>
      <c r="T446" s="18"/>
      <c r="U446" s="18"/>
      <c r="V446" s="18"/>
      <c r="W446" s="18"/>
      <c r="X446" s="18"/>
      <c r="Y446" s="18"/>
      <c r="Z446" s="18"/>
      <c r="AA446" s="18"/>
      <c r="AB446" s="18"/>
    </row>
    <row r="447" spans="1:28" ht="12.5" customHeight="1">
      <c r="A447" s="19">
        <v>446</v>
      </c>
      <c r="B447" s="53" t="s">
        <v>2183</v>
      </c>
      <c r="C447" s="53" t="s">
        <v>2028</v>
      </c>
      <c r="D447" s="54" t="s">
        <v>2184</v>
      </c>
      <c r="E447" s="53" t="s">
        <v>2185</v>
      </c>
      <c r="F447" s="53" t="s">
        <v>2186</v>
      </c>
      <c r="G447" s="53">
        <v>2018</v>
      </c>
      <c r="H447" s="53" t="s">
        <v>1235</v>
      </c>
      <c r="I447" s="53" t="str">
        <f t="shared" si="2"/>
        <v>Recent</v>
      </c>
      <c r="J447" s="53" t="str">
        <f t="shared" si="3"/>
        <v>Yes</v>
      </c>
      <c r="K447" s="53"/>
      <c r="L447" s="53"/>
      <c r="M447" s="18"/>
      <c r="N447" s="18"/>
      <c r="O447" s="18"/>
      <c r="P447" s="18"/>
      <c r="Q447" s="18"/>
      <c r="R447" s="18"/>
      <c r="S447" s="18"/>
      <c r="T447" s="18"/>
      <c r="U447" s="18"/>
      <c r="V447" s="18"/>
      <c r="W447" s="18"/>
      <c r="X447" s="18"/>
      <c r="Y447" s="18"/>
      <c r="Z447" s="18"/>
      <c r="AA447" s="18"/>
      <c r="AB447" s="18"/>
    </row>
    <row r="448" spans="1:28" ht="12.5" customHeight="1">
      <c r="A448" s="19">
        <v>447</v>
      </c>
      <c r="B448" s="53" t="s">
        <v>2187</v>
      </c>
      <c r="C448" s="53" t="s">
        <v>2028</v>
      </c>
      <c r="D448" s="54" t="s">
        <v>2188</v>
      </c>
      <c r="E448" s="53" t="s">
        <v>2189</v>
      </c>
      <c r="F448" s="53" t="s">
        <v>2190</v>
      </c>
      <c r="G448" s="53">
        <v>2010</v>
      </c>
      <c r="H448" s="53" t="s">
        <v>2089</v>
      </c>
      <c r="I448" s="53" t="str">
        <f t="shared" si="2"/>
        <v>Middle</v>
      </c>
      <c r="J448" s="53" t="str">
        <f t="shared" si="3"/>
        <v>Yes</v>
      </c>
      <c r="K448" s="53"/>
      <c r="L448" s="53"/>
      <c r="M448" s="18"/>
      <c r="N448" s="18"/>
      <c r="O448" s="18"/>
      <c r="P448" s="18"/>
      <c r="Q448" s="18"/>
      <c r="R448" s="18"/>
      <c r="S448" s="18"/>
      <c r="T448" s="18"/>
      <c r="U448" s="18"/>
      <c r="V448" s="18"/>
      <c r="W448" s="18"/>
      <c r="X448" s="18"/>
      <c r="Y448" s="18"/>
      <c r="Z448" s="18"/>
      <c r="AA448" s="18"/>
      <c r="AB448" s="18"/>
    </row>
    <row r="449" spans="1:28" ht="12.5" customHeight="1">
      <c r="A449" s="19">
        <v>448</v>
      </c>
      <c r="B449" s="53" t="s">
        <v>2191</v>
      </c>
      <c r="C449" s="53" t="s">
        <v>2028</v>
      </c>
      <c r="D449" s="54" t="s">
        <v>2192</v>
      </c>
      <c r="E449" s="53" t="s">
        <v>2193</v>
      </c>
      <c r="F449" s="53" t="s">
        <v>2194</v>
      </c>
      <c r="G449" s="53">
        <v>2016</v>
      </c>
      <c r="H449" s="53" t="s">
        <v>2032</v>
      </c>
      <c r="I449" s="53" t="str">
        <f t="shared" si="2"/>
        <v>Middle</v>
      </c>
      <c r="J449" s="53" t="str">
        <f t="shared" si="3"/>
        <v>Yes</v>
      </c>
      <c r="K449" s="53"/>
      <c r="L449" s="53"/>
      <c r="M449" s="18"/>
      <c r="N449" s="18"/>
      <c r="O449" s="18"/>
      <c r="P449" s="18"/>
      <c r="Q449" s="18"/>
      <c r="R449" s="18"/>
      <c r="S449" s="18"/>
      <c r="T449" s="18"/>
      <c r="U449" s="18"/>
      <c r="V449" s="18"/>
      <c r="W449" s="18"/>
      <c r="X449" s="18"/>
      <c r="Y449" s="18"/>
      <c r="Z449" s="18"/>
      <c r="AA449" s="18"/>
      <c r="AB449" s="18"/>
    </row>
    <row r="450" spans="1:28" ht="12.5" customHeight="1">
      <c r="A450" s="19">
        <v>449</v>
      </c>
      <c r="B450" s="53" t="s">
        <v>2195</v>
      </c>
      <c r="C450" s="53" t="s">
        <v>2028</v>
      </c>
      <c r="D450" s="54" t="s">
        <v>2196</v>
      </c>
      <c r="E450" s="53" t="s">
        <v>2197</v>
      </c>
      <c r="F450" s="53" t="s">
        <v>2198</v>
      </c>
      <c r="G450" s="53">
        <v>2013</v>
      </c>
      <c r="H450" s="53" t="s">
        <v>2089</v>
      </c>
      <c r="I450" s="53" t="str">
        <f t="shared" si="2"/>
        <v>Middle</v>
      </c>
      <c r="J450" s="53" t="str">
        <f t="shared" si="3"/>
        <v>Yes</v>
      </c>
      <c r="K450" s="53"/>
      <c r="L450" s="53"/>
      <c r="M450" s="18"/>
      <c r="N450" s="18"/>
      <c r="O450" s="18"/>
      <c r="P450" s="18"/>
      <c r="Q450" s="18"/>
      <c r="R450" s="18"/>
      <c r="S450" s="18"/>
      <c r="T450" s="18"/>
      <c r="U450" s="18"/>
      <c r="V450" s="18"/>
      <c r="W450" s="18"/>
      <c r="X450" s="18"/>
      <c r="Y450" s="18"/>
      <c r="Z450" s="18"/>
      <c r="AA450" s="18"/>
      <c r="AB450" s="18"/>
    </row>
    <row r="451" spans="1:28" ht="12.5" customHeight="1">
      <c r="A451" s="19">
        <v>450</v>
      </c>
      <c r="B451" s="53" t="s">
        <v>2199</v>
      </c>
      <c r="C451" s="53" t="s">
        <v>2028</v>
      </c>
      <c r="D451" s="54" t="s">
        <v>2200</v>
      </c>
      <c r="E451" s="53" t="s">
        <v>2201</v>
      </c>
      <c r="F451" s="53" t="s">
        <v>2202</v>
      </c>
      <c r="G451" s="53">
        <v>2010</v>
      </c>
      <c r="H451" s="53" t="s">
        <v>2064</v>
      </c>
      <c r="I451" s="53" t="str">
        <f t="shared" si="2"/>
        <v>Middle</v>
      </c>
      <c r="J451" s="53" t="str">
        <f t="shared" si="3"/>
        <v>Yes</v>
      </c>
      <c r="K451" s="53"/>
      <c r="L451" s="53"/>
      <c r="M451" s="18"/>
      <c r="N451" s="18"/>
      <c r="O451" s="18"/>
      <c r="P451" s="18"/>
      <c r="Q451" s="18"/>
      <c r="R451" s="18"/>
      <c r="S451" s="18"/>
      <c r="T451" s="18"/>
      <c r="U451" s="18"/>
      <c r="V451" s="18"/>
      <c r="W451" s="18"/>
      <c r="X451" s="18"/>
      <c r="Y451" s="18"/>
      <c r="Z451" s="18"/>
      <c r="AA451" s="18"/>
      <c r="AB451" s="18"/>
    </row>
    <row r="452" spans="1:28" ht="15.5" customHeight="1">
      <c r="A452" s="19">
        <v>451</v>
      </c>
      <c r="B452" s="53" t="s">
        <v>2203</v>
      </c>
      <c r="C452" s="53" t="s">
        <v>2028</v>
      </c>
      <c r="D452" s="32" t="s">
        <v>2204</v>
      </c>
      <c r="E452" s="53" t="s">
        <v>2205</v>
      </c>
      <c r="F452" s="53" t="s">
        <v>2206</v>
      </c>
      <c r="G452" s="53">
        <v>2015</v>
      </c>
      <c r="H452" s="53" t="s">
        <v>1029</v>
      </c>
      <c r="I452" s="53" t="str">
        <f t="shared" si="2"/>
        <v>Middle</v>
      </c>
      <c r="J452" s="53" t="str">
        <f t="shared" si="3"/>
        <v>Yes</v>
      </c>
      <c r="K452" s="53"/>
      <c r="L452" s="53"/>
      <c r="M452" s="18"/>
      <c r="N452" s="18"/>
      <c r="O452" s="18"/>
      <c r="P452" s="18"/>
      <c r="Q452" s="18"/>
      <c r="R452" s="18"/>
      <c r="S452" s="18"/>
      <c r="T452" s="18"/>
      <c r="U452" s="18"/>
      <c r="V452" s="18"/>
      <c r="W452" s="18"/>
      <c r="X452" s="18"/>
      <c r="Y452" s="18"/>
      <c r="Z452" s="18"/>
      <c r="AA452" s="18"/>
      <c r="AB452" s="18"/>
    </row>
    <row r="453" spans="1:28" ht="15.5" customHeight="1">
      <c r="A453" s="19">
        <v>452</v>
      </c>
      <c r="B453" s="53" t="s">
        <v>2207</v>
      </c>
      <c r="C453" s="53" t="s">
        <v>2028</v>
      </c>
      <c r="D453" s="55" t="s">
        <v>2208</v>
      </c>
      <c r="E453" s="53" t="s">
        <v>2209</v>
      </c>
      <c r="F453" s="53" t="s">
        <v>2206</v>
      </c>
      <c r="G453" s="53">
        <v>2013</v>
      </c>
      <c r="H453" s="53" t="s">
        <v>1131</v>
      </c>
      <c r="I453" s="53" t="str">
        <f t="shared" si="2"/>
        <v>Middle</v>
      </c>
      <c r="J453" s="53" t="str">
        <f t="shared" si="3"/>
        <v>Yes</v>
      </c>
      <c r="K453" s="53"/>
      <c r="L453" s="53"/>
      <c r="M453" s="18"/>
      <c r="N453" s="18"/>
      <c r="O453" s="18"/>
      <c r="P453" s="18"/>
      <c r="Q453" s="18"/>
      <c r="R453" s="18"/>
      <c r="S453" s="18"/>
      <c r="T453" s="18"/>
      <c r="U453" s="18"/>
      <c r="V453" s="18"/>
      <c r="W453" s="18"/>
      <c r="X453" s="18"/>
      <c r="Y453" s="18"/>
      <c r="Z453" s="18"/>
      <c r="AA453" s="18"/>
      <c r="AB453" s="18"/>
    </row>
    <row r="454" spans="1:28" ht="15.5" customHeight="1">
      <c r="A454" s="23">
        <v>453</v>
      </c>
      <c r="B454" s="23" t="s">
        <v>2210</v>
      </c>
      <c r="C454" s="23" t="s">
        <v>2028</v>
      </c>
      <c r="D454" s="34"/>
      <c r="E454" s="23" t="s">
        <v>2211</v>
      </c>
      <c r="F454" s="23" t="s">
        <v>2212</v>
      </c>
      <c r="G454" s="23">
        <v>2014</v>
      </c>
      <c r="H454" s="23" t="s">
        <v>2213</v>
      </c>
      <c r="I454" s="23" t="str">
        <f t="shared" si="2"/>
        <v>Middle</v>
      </c>
      <c r="J454" s="23" t="str">
        <f t="shared" si="3"/>
        <v>No</v>
      </c>
      <c r="K454" s="23"/>
      <c r="L454" s="23"/>
      <c r="M454" s="23"/>
      <c r="N454" s="23"/>
      <c r="O454" s="23"/>
      <c r="P454" s="23"/>
      <c r="Q454" s="23"/>
      <c r="R454" s="23"/>
      <c r="S454" s="23"/>
      <c r="T454" s="23"/>
      <c r="U454" s="23"/>
      <c r="V454" s="23"/>
      <c r="W454" s="23"/>
      <c r="X454" s="23"/>
      <c r="Y454" s="23"/>
      <c r="Z454" s="23"/>
      <c r="AA454" s="23"/>
      <c r="AB454" s="23"/>
    </row>
    <row r="455" spans="1:28" ht="15.5" customHeight="1">
      <c r="A455" s="19">
        <v>454</v>
      </c>
      <c r="B455" s="53" t="s">
        <v>2214</v>
      </c>
      <c r="C455" s="53" t="s">
        <v>2028</v>
      </c>
      <c r="D455" s="32" t="s">
        <v>2215</v>
      </c>
      <c r="E455" s="53" t="s">
        <v>2216</v>
      </c>
      <c r="F455" s="53" t="s">
        <v>2217</v>
      </c>
      <c r="G455" s="53">
        <v>2017</v>
      </c>
      <c r="H455" s="53" t="s">
        <v>2218</v>
      </c>
      <c r="I455" s="53" t="str">
        <f t="shared" si="2"/>
        <v>Middle</v>
      </c>
      <c r="J455" s="53" t="str">
        <f t="shared" si="3"/>
        <v>Yes</v>
      </c>
      <c r="K455" s="53"/>
      <c r="L455" s="53"/>
      <c r="M455" s="18"/>
      <c r="N455" s="18"/>
      <c r="O455" s="18"/>
      <c r="P455" s="18"/>
      <c r="Q455" s="18"/>
      <c r="R455" s="18"/>
      <c r="S455" s="18"/>
      <c r="T455" s="18"/>
      <c r="U455" s="18"/>
      <c r="V455" s="18"/>
      <c r="W455" s="18"/>
      <c r="X455" s="18"/>
      <c r="Y455" s="18"/>
      <c r="Z455" s="18"/>
      <c r="AA455" s="18"/>
      <c r="AB455" s="18"/>
    </row>
    <row r="456" spans="1:28" ht="15.5" customHeight="1">
      <c r="A456" s="19">
        <v>455</v>
      </c>
      <c r="B456" s="53" t="s">
        <v>2219</v>
      </c>
      <c r="C456" s="53" t="s">
        <v>2028</v>
      </c>
      <c r="D456" s="32" t="s">
        <v>2220</v>
      </c>
      <c r="E456" s="53" t="s">
        <v>2221</v>
      </c>
      <c r="F456" s="53" t="s">
        <v>2222</v>
      </c>
      <c r="G456" s="53">
        <v>2011</v>
      </c>
      <c r="H456" s="53" t="s">
        <v>2041</v>
      </c>
      <c r="I456" s="53" t="str">
        <f t="shared" si="2"/>
        <v>Middle</v>
      </c>
      <c r="J456" s="53" t="str">
        <f t="shared" si="3"/>
        <v>Yes</v>
      </c>
      <c r="K456" s="53"/>
      <c r="L456" s="53"/>
      <c r="M456" s="18"/>
      <c r="N456" s="18"/>
      <c r="O456" s="18"/>
      <c r="P456" s="18"/>
      <c r="Q456" s="18"/>
      <c r="R456" s="18"/>
      <c r="S456" s="18"/>
      <c r="T456" s="18"/>
      <c r="U456" s="18"/>
      <c r="V456" s="18"/>
      <c r="W456" s="18"/>
      <c r="X456" s="18"/>
      <c r="Y456" s="18"/>
      <c r="Z456" s="18"/>
      <c r="AA456" s="18"/>
      <c r="AB456" s="18"/>
    </row>
    <row r="457" spans="1:28" ht="12.5" customHeight="1">
      <c r="A457" s="23">
        <v>456</v>
      </c>
      <c r="B457" s="23" t="s">
        <v>2223</v>
      </c>
      <c r="C457" s="23" t="s">
        <v>2224</v>
      </c>
      <c r="D457" s="23"/>
      <c r="E457" s="23" t="s">
        <v>2225</v>
      </c>
      <c r="F457" s="23" t="s">
        <v>2226</v>
      </c>
      <c r="G457" s="23">
        <v>2006</v>
      </c>
      <c r="H457" s="23" t="s">
        <v>2227</v>
      </c>
      <c r="I457" s="23" t="str">
        <f t="shared" si="2"/>
        <v>Early</v>
      </c>
      <c r="J457" s="23" t="str">
        <f t="shared" si="3"/>
        <v>No</v>
      </c>
      <c r="K457" s="23"/>
      <c r="L457" s="23"/>
      <c r="M457" s="23"/>
      <c r="N457" s="23"/>
      <c r="O457" s="23"/>
      <c r="P457" s="23"/>
      <c r="Q457" s="23"/>
      <c r="R457" s="23"/>
      <c r="S457" s="23"/>
      <c r="T457" s="23"/>
      <c r="U457" s="23"/>
      <c r="V457" s="23"/>
      <c r="W457" s="23"/>
      <c r="X457" s="23"/>
      <c r="Y457" s="23"/>
      <c r="Z457" s="23"/>
      <c r="AA457" s="23"/>
      <c r="AB457" s="23"/>
    </row>
    <row r="458" spans="1:28" ht="12.5" customHeight="1">
      <c r="A458" s="23">
        <v>457</v>
      </c>
      <c r="B458" s="23" t="s">
        <v>2228</v>
      </c>
      <c r="C458" s="23" t="s">
        <v>2224</v>
      </c>
      <c r="D458" s="37"/>
      <c r="E458" s="23" t="s">
        <v>2229</v>
      </c>
      <c r="F458" s="23" t="s">
        <v>2230</v>
      </c>
      <c r="G458" s="23">
        <v>2017</v>
      </c>
      <c r="H458" s="23" t="s">
        <v>2231</v>
      </c>
      <c r="I458" s="23" t="str">
        <f t="shared" si="2"/>
        <v>Middle</v>
      </c>
      <c r="J458" s="23" t="str">
        <f t="shared" si="3"/>
        <v>No</v>
      </c>
      <c r="K458" s="23"/>
      <c r="L458" s="23"/>
      <c r="M458" s="23"/>
      <c r="N458" s="23"/>
      <c r="O458" s="23"/>
      <c r="P458" s="23"/>
      <c r="Q458" s="23"/>
      <c r="R458" s="23"/>
      <c r="S458" s="23"/>
      <c r="T458" s="23"/>
      <c r="U458" s="23"/>
      <c r="V458" s="23"/>
      <c r="W458" s="23"/>
      <c r="X458" s="23"/>
      <c r="Y458" s="23"/>
      <c r="Z458" s="23"/>
      <c r="AA458" s="23"/>
      <c r="AB458" s="23"/>
    </row>
    <row r="459" spans="1:28" ht="15.5" customHeight="1">
      <c r="A459" s="19">
        <v>458</v>
      </c>
      <c r="B459" s="41" t="s">
        <v>2232</v>
      </c>
      <c r="C459" s="41" t="s">
        <v>2224</v>
      </c>
      <c r="D459" s="32" t="s">
        <v>2233</v>
      </c>
      <c r="E459" s="41" t="s">
        <v>2234</v>
      </c>
      <c r="F459" s="41" t="s">
        <v>2235</v>
      </c>
      <c r="G459" s="41">
        <v>2018</v>
      </c>
      <c r="H459" s="41" t="s">
        <v>2236</v>
      </c>
      <c r="I459" s="41" t="str">
        <f t="shared" si="2"/>
        <v>Recent</v>
      </c>
      <c r="J459" s="41" t="str">
        <f t="shared" si="3"/>
        <v>Yes</v>
      </c>
      <c r="K459" s="41"/>
      <c r="L459" s="41"/>
      <c r="M459" s="18"/>
      <c r="N459" s="18"/>
      <c r="O459" s="18"/>
      <c r="P459" s="18"/>
      <c r="Q459" s="18"/>
      <c r="R459" s="18"/>
      <c r="S459" s="18"/>
      <c r="T459" s="18"/>
      <c r="U459" s="18"/>
      <c r="V459" s="18"/>
      <c r="W459" s="18"/>
      <c r="X459" s="18"/>
      <c r="Y459" s="18"/>
      <c r="Z459" s="18"/>
      <c r="AA459" s="18"/>
      <c r="AB459" s="18"/>
    </row>
    <row r="460" spans="1:28" ht="15.5" customHeight="1">
      <c r="A460" s="19">
        <v>459</v>
      </c>
      <c r="B460" s="41" t="s">
        <v>2237</v>
      </c>
      <c r="C460" s="41" t="s">
        <v>2224</v>
      </c>
      <c r="D460" s="32" t="s">
        <v>2238</v>
      </c>
      <c r="E460" s="41" t="s">
        <v>2239</v>
      </c>
      <c r="F460" s="41" t="s">
        <v>2240</v>
      </c>
      <c r="G460" s="41">
        <v>2022</v>
      </c>
      <c r="H460" s="41" t="s">
        <v>2241</v>
      </c>
      <c r="I460" s="41" t="str">
        <f t="shared" si="2"/>
        <v>Recent</v>
      </c>
      <c r="J460" s="41" t="str">
        <f t="shared" si="3"/>
        <v>Yes</v>
      </c>
      <c r="K460" s="41"/>
      <c r="L460" s="41"/>
      <c r="M460" s="18"/>
      <c r="N460" s="18"/>
      <c r="O460" s="18"/>
      <c r="P460" s="18"/>
      <c r="Q460" s="18"/>
      <c r="R460" s="18"/>
      <c r="S460" s="18"/>
      <c r="T460" s="18"/>
      <c r="U460" s="18"/>
      <c r="V460" s="18"/>
      <c r="W460" s="18"/>
      <c r="X460" s="18"/>
      <c r="Y460" s="18"/>
      <c r="Z460" s="18"/>
      <c r="AA460" s="18"/>
      <c r="AB460" s="18"/>
    </row>
    <row r="461" spans="1:28" ht="12.5" customHeight="1">
      <c r="A461" s="19">
        <v>460</v>
      </c>
      <c r="B461" s="41" t="s">
        <v>2242</v>
      </c>
      <c r="C461" s="41" t="s">
        <v>2224</v>
      </c>
      <c r="D461" s="4" t="s">
        <v>2243</v>
      </c>
      <c r="E461" s="41" t="s">
        <v>2244</v>
      </c>
      <c r="F461" s="41" t="s">
        <v>2245</v>
      </c>
      <c r="G461" s="41">
        <v>2012</v>
      </c>
      <c r="H461" s="41" t="s">
        <v>2246</v>
      </c>
      <c r="I461" s="41" t="str">
        <f t="shared" si="2"/>
        <v>Middle</v>
      </c>
      <c r="J461" s="41" t="str">
        <f t="shared" si="3"/>
        <v>Yes</v>
      </c>
      <c r="K461" s="41"/>
      <c r="L461" s="41"/>
      <c r="M461" s="18"/>
      <c r="N461" s="18"/>
      <c r="O461" s="18"/>
      <c r="P461" s="18"/>
      <c r="Q461" s="18"/>
      <c r="R461" s="18"/>
      <c r="S461" s="18"/>
      <c r="T461" s="18"/>
      <c r="U461" s="18"/>
      <c r="V461" s="18"/>
      <c r="W461" s="18"/>
      <c r="X461" s="18"/>
      <c r="Y461" s="18"/>
      <c r="Z461" s="18"/>
      <c r="AA461" s="18"/>
      <c r="AB461" s="18"/>
    </row>
    <row r="462" spans="1:28" ht="12.5" customHeight="1">
      <c r="A462" s="19">
        <v>461</v>
      </c>
      <c r="B462" s="41" t="s">
        <v>2247</v>
      </c>
      <c r="C462" s="41" t="s">
        <v>2224</v>
      </c>
      <c r="D462" s="4" t="s">
        <v>2248</v>
      </c>
      <c r="E462" s="41" t="s">
        <v>2249</v>
      </c>
      <c r="F462" s="41" t="s">
        <v>2250</v>
      </c>
      <c r="G462" s="41">
        <v>2019</v>
      </c>
      <c r="H462" s="41" t="s">
        <v>2251</v>
      </c>
      <c r="I462" s="41" t="str">
        <f t="shared" si="2"/>
        <v>Recent</v>
      </c>
      <c r="J462" s="41" t="str">
        <f t="shared" si="3"/>
        <v>Yes</v>
      </c>
      <c r="K462" s="41"/>
      <c r="L462" s="41"/>
      <c r="M462" s="18"/>
      <c r="N462" s="18"/>
      <c r="O462" s="18"/>
      <c r="P462" s="18"/>
      <c r="Q462" s="18"/>
      <c r="R462" s="18"/>
      <c r="S462" s="18"/>
      <c r="T462" s="18"/>
      <c r="U462" s="18"/>
      <c r="V462" s="18"/>
      <c r="W462" s="18"/>
      <c r="X462" s="18"/>
      <c r="Y462" s="18"/>
      <c r="Z462" s="18"/>
      <c r="AA462" s="18"/>
      <c r="AB462" s="18"/>
    </row>
    <row r="463" spans="1:28" ht="12.5" customHeight="1">
      <c r="A463" s="19">
        <v>462</v>
      </c>
      <c r="B463" s="41" t="s">
        <v>2252</v>
      </c>
      <c r="C463" s="41" t="s">
        <v>2224</v>
      </c>
      <c r="D463" s="25" t="s">
        <v>2253</v>
      </c>
      <c r="E463" s="41" t="s">
        <v>2254</v>
      </c>
      <c r="F463" s="41" t="s">
        <v>2255</v>
      </c>
      <c r="G463" s="41">
        <v>2021</v>
      </c>
      <c r="H463" s="41" t="s">
        <v>2256</v>
      </c>
      <c r="I463" s="41" t="str">
        <f t="shared" si="2"/>
        <v>Recent</v>
      </c>
      <c r="J463" s="41" t="str">
        <f t="shared" si="3"/>
        <v>Yes</v>
      </c>
      <c r="K463" s="41"/>
      <c r="L463" s="41"/>
      <c r="M463" s="18"/>
      <c r="N463" s="18"/>
      <c r="O463" s="18"/>
      <c r="P463" s="18"/>
      <c r="Q463" s="18"/>
      <c r="R463" s="18"/>
      <c r="S463" s="18"/>
      <c r="T463" s="18"/>
      <c r="U463" s="18"/>
      <c r="V463" s="18"/>
      <c r="W463" s="18"/>
      <c r="X463" s="18"/>
      <c r="Y463" s="18"/>
      <c r="Z463" s="18"/>
      <c r="AA463" s="18"/>
      <c r="AB463" s="18"/>
    </row>
    <row r="464" spans="1:28" ht="12.5" customHeight="1">
      <c r="A464" s="19">
        <v>463</v>
      </c>
      <c r="B464" s="41" t="s">
        <v>2257</v>
      </c>
      <c r="C464" s="41" t="s">
        <v>2224</v>
      </c>
      <c r="D464" s="25" t="s">
        <v>2258</v>
      </c>
      <c r="E464" s="41" t="s">
        <v>2259</v>
      </c>
      <c r="F464" s="41" t="s">
        <v>2260</v>
      </c>
      <c r="G464" s="41">
        <v>2015</v>
      </c>
      <c r="H464" s="41" t="s">
        <v>2246</v>
      </c>
      <c r="I464" s="41" t="str">
        <f t="shared" si="2"/>
        <v>Middle</v>
      </c>
      <c r="J464" s="41" t="str">
        <f t="shared" si="3"/>
        <v>Yes</v>
      </c>
      <c r="K464" s="41"/>
      <c r="L464" s="41"/>
      <c r="M464" s="18"/>
      <c r="N464" s="18"/>
      <c r="O464" s="18"/>
      <c r="P464" s="18"/>
      <c r="Q464" s="18"/>
      <c r="R464" s="18"/>
      <c r="S464" s="18"/>
      <c r="T464" s="18"/>
      <c r="U464" s="18"/>
      <c r="V464" s="18"/>
      <c r="W464" s="18"/>
      <c r="X464" s="18"/>
      <c r="Y464" s="18"/>
      <c r="Z464" s="18"/>
      <c r="AA464" s="18"/>
      <c r="AB464" s="18"/>
    </row>
    <row r="465" spans="1:28" ht="12.5" customHeight="1">
      <c r="A465" s="19">
        <v>464</v>
      </c>
      <c r="B465" s="41" t="s">
        <v>2261</v>
      </c>
      <c r="C465" s="41" t="s">
        <v>2224</v>
      </c>
      <c r="D465" s="4" t="s">
        <v>2262</v>
      </c>
      <c r="E465" s="41" t="s">
        <v>2263</v>
      </c>
      <c r="F465" s="41" t="s">
        <v>2260</v>
      </c>
      <c r="G465" s="41">
        <v>2018</v>
      </c>
      <c r="H465" s="41" t="s">
        <v>2264</v>
      </c>
      <c r="I465" s="41" t="str">
        <f t="shared" si="2"/>
        <v>Recent</v>
      </c>
      <c r="J465" s="41" t="str">
        <f t="shared" si="3"/>
        <v>Yes</v>
      </c>
      <c r="K465" s="41"/>
      <c r="L465" s="41"/>
      <c r="M465" s="18"/>
      <c r="N465" s="18"/>
      <c r="O465" s="18"/>
      <c r="P465" s="18"/>
      <c r="Q465" s="18"/>
      <c r="R465" s="18"/>
      <c r="S465" s="18"/>
      <c r="T465" s="18"/>
      <c r="U465" s="18"/>
      <c r="V465" s="18"/>
      <c r="W465" s="18"/>
      <c r="X465" s="18"/>
      <c r="Y465" s="18"/>
      <c r="Z465" s="18"/>
      <c r="AA465" s="18"/>
      <c r="AB465" s="18"/>
    </row>
    <row r="466" spans="1:28" ht="15.5" customHeight="1">
      <c r="A466" s="19">
        <v>465</v>
      </c>
      <c r="B466" s="41" t="s">
        <v>2265</v>
      </c>
      <c r="C466" s="41" t="s">
        <v>2224</v>
      </c>
      <c r="D466" s="32" t="s">
        <v>2266</v>
      </c>
      <c r="E466" s="41" t="s">
        <v>2267</v>
      </c>
      <c r="F466" s="41" t="s">
        <v>2260</v>
      </c>
      <c r="G466" s="41">
        <v>2019</v>
      </c>
      <c r="H466" s="41" t="s">
        <v>2268</v>
      </c>
      <c r="I466" s="41" t="str">
        <f t="shared" si="2"/>
        <v>Recent</v>
      </c>
      <c r="J466" s="41" t="str">
        <f t="shared" si="3"/>
        <v>Yes</v>
      </c>
      <c r="K466" s="41"/>
      <c r="L466" s="41"/>
      <c r="M466" s="18"/>
      <c r="N466" s="18"/>
      <c r="O466" s="18"/>
      <c r="P466" s="18"/>
      <c r="Q466" s="18"/>
      <c r="R466" s="18"/>
      <c r="S466" s="18"/>
      <c r="T466" s="18"/>
      <c r="U466" s="18"/>
      <c r="V466" s="18"/>
      <c r="W466" s="18"/>
      <c r="X466" s="18"/>
      <c r="Y466" s="18"/>
      <c r="Z466" s="18"/>
      <c r="AA466" s="18"/>
      <c r="AB466" s="18"/>
    </row>
    <row r="467" spans="1:28" ht="12.5" customHeight="1">
      <c r="A467" s="19">
        <v>466</v>
      </c>
      <c r="B467" s="41" t="s">
        <v>2269</v>
      </c>
      <c r="C467" s="41" t="s">
        <v>2224</v>
      </c>
      <c r="D467" s="25" t="s">
        <v>2270</v>
      </c>
      <c r="E467" s="41" t="s">
        <v>2271</v>
      </c>
      <c r="F467" s="41" t="s">
        <v>2272</v>
      </c>
      <c r="G467" s="41">
        <v>2015</v>
      </c>
      <c r="H467" s="41" t="s">
        <v>2273</v>
      </c>
      <c r="I467" s="41" t="str">
        <f t="shared" si="2"/>
        <v>Middle</v>
      </c>
      <c r="J467" s="41" t="str">
        <f t="shared" si="3"/>
        <v>Yes</v>
      </c>
      <c r="K467" s="41"/>
      <c r="L467" s="41"/>
      <c r="M467" s="18"/>
      <c r="N467" s="18"/>
      <c r="O467" s="18"/>
      <c r="P467" s="18"/>
      <c r="Q467" s="18"/>
      <c r="R467" s="18"/>
      <c r="S467" s="18"/>
      <c r="T467" s="18"/>
      <c r="U467" s="18"/>
      <c r="V467" s="18"/>
      <c r="W467" s="18"/>
      <c r="X467" s="18"/>
      <c r="Y467" s="18"/>
      <c r="Z467" s="18"/>
      <c r="AA467" s="18"/>
      <c r="AB467" s="18"/>
    </row>
    <row r="468" spans="1:28" ht="12.5" customHeight="1">
      <c r="A468" s="19">
        <v>467</v>
      </c>
      <c r="B468" s="41" t="s">
        <v>2274</v>
      </c>
      <c r="C468" s="41" t="s">
        <v>2224</v>
      </c>
      <c r="D468" s="4" t="s">
        <v>2275</v>
      </c>
      <c r="E468" s="41" t="s">
        <v>2276</v>
      </c>
      <c r="F468" s="41" t="s">
        <v>2277</v>
      </c>
      <c r="G468" s="41">
        <v>2022</v>
      </c>
      <c r="H468" s="41" t="s">
        <v>2256</v>
      </c>
      <c r="I468" s="41" t="str">
        <f t="shared" si="2"/>
        <v>Recent</v>
      </c>
      <c r="J468" s="41" t="str">
        <f t="shared" si="3"/>
        <v>Yes</v>
      </c>
      <c r="K468" s="41"/>
      <c r="L468" s="41"/>
      <c r="M468" s="18"/>
      <c r="N468" s="18"/>
      <c r="O468" s="18"/>
      <c r="P468" s="18"/>
      <c r="Q468" s="18"/>
      <c r="R468" s="18"/>
      <c r="S468" s="18"/>
      <c r="T468" s="18"/>
      <c r="U468" s="18"/>
      <c r="V468" s="18"/>
      <c r="W468" s="18"/>
      <c r="X468" s="18"/>
      <c r="Y468" s="18"/>
      <c r="Z468" s="18"/>
      <c r="AA468" s="18"/>
      <c r="AB468" s="18"/>
    </row>
    <row r="469" spans="1:28" ht="14" customHeight="1">
      <c r="A469" s="19">
        <v>468</v>
      </c>
      <c r="B469" s="41" t="s">
        <v>2278</v>
      </c>
      <c r="C469" s="41" t="s">
        <v>2224</v>
      </c>
      <c r="D469" s="56" t="s">
        <v>2279</v>
      </c>
      <c r="E469" s="41" t="s">
        <v>2280</v>
      </c>
      <c r="F469" s="41" t="s">
        <v>2281</v>
      </c>
      <c r="G469" s="41">
        <v>2020</v>
      </c>
      <c r="H469" s="41" t="s">
        <v>2282</v>
      </c>
      <c r="I469" s="41" t="str">
        <f t="shared" si="2"/>
        <v>Recent</v>
      </c>
      <c r="J469" s="41" t="str">
        <f t="shared" si="3"/>
        <v>Yes</v>
      </c>
      <c r="K469" s="41"/>
      <c r="L469" s="41"/>
      <c r="M469" s="18"/>
      <c r="N469" s="18"/>
      <c r="O469" s="18"/>
      <c r="P469" s="18"/>
      <c r="Q469" s="18"/>
      <c r="R469" s="18"/>
      <c r="S469" s="18"/>
      <c r="T469" s="18"/>
      <c r="U469" s="18"/>
      <c r="V469" s="18"/>
      <c r="W469" s="18"/>
      <c r="X469" s="18"/>
      <c r="Y469" s="18"/>
      <c r="Z469" s="18"/>
      <c r="AA469" s="18"/>
      <c r="AB469" s="18"/>
    </row>
    <row r="470" spans="1:28" ht="15.5" customHeight="1">
      <c r="A470" s="19">
        <v>469</v>
      </c>
      <c r="B470" s="41" t="s">
        <v>2283</v>
      </c>
      <c r="C470" s="41" t="s">
        <v>2224</v>
      </c>
      <c r="D470" s="32" t="s">
        <v>2284</v>
      </c>
      <c r="E470" s="41" t="s">
        <v>2285</v>
      </c>
      <c r="F470" s="41" t="s">
        <v>2286</v>
      </c>
      <c r="G470" s="41">
        <v>2015</v>
      </c>
      <c r="H470" s="41" t="s">
        <v>2287</v>
      </c>
      <c r="I470" s="41" t="str">
        <f t="shared" si="2"/>
        <v>Middle</v>
      </c>
      <c r="J470" s="41" t="str">
        <f t="shared" si="3"/>
        <v>Yes</v>
      </c>
      <c r="K470" s="41"/>
      <c r="L470" s="41"/>
      <c r="M470" s="18"/>
      <c r="N470" s="18"/>
      <c r="O470" s="18"/>
      <c r="P470" s="18"/>
      <c r="Q470" s="18"/>
      <c r="R470" s="18"/>
      <c r="S470" s="18"/>
      <c r="T470" s="18"/>
      <c r="U470" s="18"/>
      <c r="V470" s="18"/>
      <c r="W470" s="18"/>
      <c r="X470" s="18"/>
      <c r="Y470" s="18"/>
      <c r="Z470" s="18"/>
      <c r="AA470" s="18"/>
      <c r="AB470" s="18"/>
    </row>
    <row r="471" spans="1:28" ht="12.5" customHeight="1">
      <c r="A471" s="19">
        <v>470</v>
      </c>
      <c r="B471" s="41" t="s">
        <v>2288</v>
      </c>
      <c r="C471" s="41" t="s">
        <v>2224</v>
      </c>
      <c r="D471" s="4" t="s">
        <v>2289</v>
      </c>
      <c r="E471" s="41" t="s">
        <v>2290</v>
      </c>
      <c r="F471" s="41" t="s">
        <v>2286</v>
      </c>
      <c r="G471" s="41">
        <v>2019</v>
      </c>
      <c r="H471" s="41" t="s">
        <v>2291</v>
      </c>
      <c r="I471" s="41" t="str">
        <f t="shared" si="2"/>
        <v>Recent</v>
      </c>
      <c r="J471" s="41" t="str">
        <f t="shared" si="3"/>
        <v>Yes</v>
      </c>
      <c r="K471" s="41"/>
      <c r="L471" s="41"/>
      <c r="M471" s="18"/>
      <c r="N471" s="18"/>
      <c r="O471" s="18"/>
      <c r="P471" s="18"/>
      <c r="Q471" s="18"/>
      <c r="R471" s="18"/>
      <c r="S471" s="18"/>
      <c r="T471" s="18"/>
      <c r="U471" s="18"/>
      <c r="V471" s="18"/>
      <c r="W471" s="18"/>
      <c r="X471" s="18"/>
      <c r="Y471" s="18"/>
      <c r="Z471" s="18"/>
      <c r="AA471" s="18"/>
      <c r="AB471" s="18"/>
    </row>
    <row r="472" spans="1:28" ht="15.5" customHeight="1">
      <c r="A472" s="19">
        <v>471</v>
      </c>
      <c r="B472" s="41" t="s">
        <v>2292</v>
      </c>
      <c r="C472" s="41" t="s">
        <v>2224</v>
      </c>
      <c r="D472" s="57" t="s">
        <v>2293</v>
      </c>
      <c r="E472" s="41" t="s">
        <v>2294</v>
      </c>
      <c r="F472" s="41" t="s">
        <v>2286</v>
      </c>
      <c r="G472" s="41">
        <v>2020</v>
      </c>
      <c r="H472" s="41" t="s">
        <v>2295</v>
      </c>
      <c r="I472" s="41" t="str">
        <f t="shared" si="2"/>
        <v>Recent</v>
      </c>
      <c r="J472" s="41" t="str">
        <f t="shared" si="3"/>
        <v>Yes</v>
      </c>
      <c r="K472" s="41"/>
      <c r="L472" s="41"/>
      <c r="M472" s="18"/>
      <c r="N472" s="18"/>
      <c r="O472" s="18"/>
      <c r="P472" s="18"/>
      <c r="Q472" s="18"/>
      <c r="R472" s="18"/>
      <c r="S472" s="18"/>
      <c r="T472" s="18"/>
      <c r="U472" s="18"/>
      <c r="V472" s="18"/>
      <c r="W472" s="18"/>
      <c r="X472" s="18"/>
      <c r="Y472" s="18"/>
      <c r="Z472" s="18"/>
      <c r="AA472" s="18"/>
      <c r="AB472" s="18"/>
    </row>
    <row r="473" spans="1:28" ht="15.5" customHeight="1">
      <c r="A473" s="19">
        <v>472</v>
      </c>
      <c r="B473" s="41" t="s">
        <v>2296</v>
      </c>
      <c r="C473" s="41" t="s">
        <v>2224</v>
      </c>
      <c r="D473" s="32" t="s">
        <v>2297</v>
      </c>
      <c r="E473" s="41" t="s">
        <v>2298</v>
      </c>
      <c r="F473" s="41" t="s">
        <v>2286</v>
      </c>
      <c r="G473" s="41">
        <v>2021</v>
      </c>
      <c r="H473" s="41" t="s">
        <v>293</v>
      </c>
      <c r="I473" s="41" t="str">
        <f t="shared" si="2"/>
        <v>Recent</v>
      </c>
      <c r="J473" s="41" t="str">
        <f t="shared" si="3"/>
        <v>Yes</v>
      </c>
      <c r="K473" s="41"/>
      <c r="L473" s="41"/>
      <c r="M473" s="18"/>
      <c r="N473" s="18"/>
      <c r="O473" s="18"/>
      <c r="P473" s="18"/>
      <c r="Q473" s="18"/>
      <c r="R473" s="18"/>
      <c r="S473" s="18"/>
      <c r="T473" s="18"/>
      <c r="U473" s="18"/>
      <c r="V473" s="18"/>
      <c r="W473" s="18"/>
      <c r="X473" s="18"/>
      <c r="Y473" s="18"/>
      <c r="Z473" s="18"/>
      <c r="AA473" s="18"/>
      <c r="AB473" s="18"/>
    </row>
    <row r="474" spans="1:28" ht="12.5" customHeight="1">
      <c r="A474" s="23">
        <v>473</v>
      </c>
      <c r="B474" s="23" t="s">
        <v>2299</v>
      </c>
      <c r="C474" s="23" t="s">
        <v>2224</v>
      </c>
      <c r="D474" s="23"/>
      <c r="E474" s="23" t="s">
        <v>2300</v>
      </c>
      <c r="F474" s="23" t="s">
        <v>2301</v>
      </c>
      <c r="G474" s="23">
        <v>2016</v>
      </c>
      <c r="H474" s="23" t="s">
        <v>2302</v>
      </c>
      <c r="I474" s="23" t="str">
        <f t="shared" si="2"/>
        <v>Middle</v>
      </c>
      <c r="J474" s="23" t="str">
        <f t="shared" si="3"/>
        <v>No</v>
      </c>
      <c r="K474" s="23"/>
      <c r="L474" s="23"/>
      <c r="M474" s="23"/>
      <c r="N474" s="23"/>
      <c r="O474" s="23"/>
      <c r="P474" s="23"/>
      <c r="Q474" s="23"/>
      <c r="R474" s="23"/>
      <c r="S474" s="23"/>
      <c r="T474" s="23"/>
      <c r="U474" s="23"/>
      <c r="V474" s="23"/>
      <c r="W474" s="23"/>
      <c r="X474" s="23"/>
      <c r="Y474" s="23"/>
      <c r="Z474" s="23"/>
      <c r="AA474" s="23"/>
      <c r="AB474" s="23"/>
    </row>
    <row r="475" spans="1:28" ht="12.5" customHeight="1">
      <c r="A475" s="19">
        <v>474</v>
      </c>
      <c r="B475" s="41" t="s">
        <v>2303</v>
      </c>
      <c r="C475" s="41" t="s">
        <v>2224</v>
      </c>
      <c r="D475" s="25" t="s">
        <v>2304</v>
      </c>
      <c r="E475" s="41" t="s">
        <v>2305</v>
      </c>
      <c r="F475" s="41" t="s">
        <v>2306</v>
      </c>
      <c r="G475" s="41">
        <v>2020</v>
      </c>
      <c r="H475" s="41" t="s">
        <v>2256</v>
      </c>
      <c r="I475" s="41" t="str">
        <f t="shared" si="2"/>
        <v>Recent</v>
      </c>
      <c r="J475" s="41" t="str">
        <f t="shared" si="3"/>
        <v>Yes</v>
      </c>
      <c r="K475" s="41"/>
      <c r="L475" s="41"/>
      <c r="M475" s="18"/>
      <c r="N475" s="18"/>
      <c r="O475" s="18"/>
      <c r="P475" s="18"/>
      <c r="Q475" s="18"/>
      <c r="R475" s="18"/>
      <c r="S475" s="18"/>
      <c r="T475" s="18"/>
      <c r="U475" s="18"/>
      <c r="V475" s="18"/>
      <c r="W475" s="18"/>
      <c r="X475" s="18"/>
      <c r="Y475" s="18"/>
      <c r="Z475" s="18"/>
      <c r="AA475" s="18"/>
      <c r="AB475" s="18"/>
    </row>
    <row r="476" spans="1:28" ht="15.5" customHeight="1">
      <c r="A476" s="19">
        <v>475</v>
      </c>
      <c r="B476" s="41" t="s">
        <v>2307</v>
      </c>
      <c r="C476" s="41" t="s">
        <v>2224</v>
      </c>
      <c r="D476" s="32" t="s">
        <v>2308</v>
      </c>
      <c r="E476" s="41" t="s">
        <v>2309</v>
      </c>
      <c r="F476" s="41" t="s">
        <v>2310</v>
      </c>
      <c r="G476" s="41">
        <v>2022</v>
      </c>
      <c r="H476" s="41" t="s">
        <v>2241</v>
      </c>
      <c r="I476" s="41" t="str">
        <f t="shared" si="2"/>
        <v>Recent</v>
      </c>
      <c r="J476" s="41" t="str">
        <f t="shared" si="3"/>
        <v>Yes</v>
      </c>
      <c r="K476" s="41"/>
      <c r="L476" s="41"/>
      <c r="M476" s="18"/>
      <c r="N476" s="18"/>
      <c r="O476" s="18"/>
      <c r="P476" s="18"/>
      <c r="Q476" s="18"/>
      <c r="R476" s="18"/>
      <c r="S476" s="18"/>
      <c r="T476" s="18"/>
      <c r="U476" s="18"/>
      <c r="V476" s="18"/>
      <c r="W476" s="18"/>
      <c r="X476" s="18"/>
      <c r="Y476" s="18"/>
      <c r="Z476" s="18"/>
      <c r="AA476" s="18"/>
      <c r="AB476" s="18"/>
    </row>
    <row r="477" spans="1:28" ht="12.5" customHeight="1">
      <c r="A477" s="23">
        <v>476</v>
      </c>
      <c r="B477" s="23" t="s">
        <v>2311</v>
      </c>
      <c r="C477" s="23" t="s">
        <v>2224</v>
      </c>
      <c r="D477" s="23"/>
      <c r="E477" s="23" t="s">
        <v>2312</v>
      </c>
      <c r="F477" s="23" t="s">
        <v>2313</v>
      </c>
      <c r="G477" s="23">
        <v>2019</v>
      </c>
      <c r="H477" s="23" t="s">
        <v>2314</v>
      </c>
      <c r="I477" s="23" t="str">
        <f t="shared" si="2"/>
        <v>Recent</v>
      </c>
      <c r="J477" s="23" t="str">
        <f t="shared" si="3"/>
        <v>No</v>
      </c>
      <c r="K477" s="23"/>
      <c r="L477" s="23"/>
      <c r="M477" s="23"/>
      <c r="N477" s="23"/>
      <c r="O477" s="23"/>
      <c r="P477" s="23"/>
      <c r="Q477" s="23"/>
      <c r="R477" s="23"/>
      <c r="S477" s="23"/>
      <c r="T477" s="23"/>
      <c r="U477" s="23"/>
      <c r="V477" s="23"/>
      <c r="W477" s="23"/>
      <c r="X477" s="23"/>
      <c r="Y477" s="23"/>
      <c r="Z477" s="23"/>
      <c r="AA477" s="23"/>
      <c r="AB477" s="23"/>
    </row>
    <row r="478" spans="1:28" ht="12.5" customHeight="1">
      <c r="A478" s="19">
        <v>477</v>
      </c>
      <c r="B478" s="41" t="s">
        <v>2315</v>
      </c>
      <c r="C478" s="41" t="s">
        <v>2224</v>
      </c>
      <c r="D478" s="25" t="s">
        <v>2316</v>
      </c>
      <c r="E478" s="41" t="s">
        <v>2317</v>
      </c>
      <c r="F478" s="41" t="s">
        <v>2318</v>
      </c>
      <c r="G478" s="41">
        <v>2019</v>
      </c>
      <c r="H478" s="41" t="s">
        <v>2273</v>
      </c>
      <c r="I478" s="41" t="str">
        <f t="shared" si="2"/>
        <v>Recent</v>
      </c>
      <c r="J478" s="41" t="str">
        <f t="shared" si="3"/>
        <v>Yes</v>
      </c>
      <c r="K478" s="41"/>
      <c r="L478" s="41"/>
      <c r="M478" s="18"/>
      <c r="N478" s="18"/>
      <c r="O478" s="18"/>
      <c r="P478" s="18"/>
      <c r="Q478" s="18"/>
      <c r="R478" s="18"/>
      <c r="S478" s="18"/>
      <c r="T478" s="18"/>
      <c r="U478" s="18"/>
      <c r="V478" s="18"/>
      <c r="W478" s="18"/>
      <c r="X478" s="18"/>
      <c r="Y478" s="18"/>
      <c r="Z478" s="18"/>
      <c r="AA478" s="18"/>
      <c r="AB478" s="18"/>
    </row>
    <row r="479" spans="1:28" ht="12.5" customHeight="1">
      <c r="A479" s="23">
        <v>478</v>
      </c>
      <c r="B479" s="23" t="s">
        <v>2319</v>
      </c>
      <c r="C479" s="23" t="s">
        <v>2224</v>
      </c>
      <c r="D479" s="58"/>
      <c r="E479" s="23" t="s">
        <v>2320</v>
      </c>
      <c r="F479" s="23" t="s">
        <v>2321</v>
      </c>
      <c r="G479" s="23">
        <v>2018</v>
      </c>
      <c r="H479" s="23" t="s">
        <v>2322</v>
      </c>
      <c r="I479" s="23"/>
      <c r="J479" s="23"/>
      <c r="K479" s="23"/>
      <c r="L479" s="23"/>
      <c r="M479" s="23"/>
      <c r="N479" s="23"/>
      <c r="O479" s="23"/>
      <c r="P479" s="23"/>
      <c r="Q479" s="23"/>
      <c r="R479" s="23"/>
      <c r="S479" s="23"/>
      <c r="T479" s="23"/>
      <c r="U479" s="23"/>
      <c r="V479" s="23"/>
      <c r="W479" s="23"/>
      <c r="X479" s="23"/>
      <c r="Y479" s="23"/>
      <c r="Z479" s="23"/>
      <c r="AA479" s="23"/>
      <c r="AB479" s="23"/>
    </row>
    <row r="480" spans="1:28" ht="12.5" customHeight="1">
      <c r="A480" s="19">
        <v>479</v>
      </c>
      <c r="B480" s="41" t="s">
        <v>2323</v>
      </c>
      <c r="C480" s="41" t="s">
        <v>2224</v>
      </c>
      <c r="D480" s="25" t="s">
        <v>2324</v>
      </c>
      <c r="E480" s="41" t="s">
        <v>2325</v>
      </c>
      <c r="F480" s="41" t="s">
        <v>2326</v>
      </c>
      <c r="G480" s="41">
        <v>2015</v>
      </c>
      <c r="H480" s="41" t="s">
        <v>2327</v>
      </c>
      <c r="I480" s="41"/>
      <c r="J480" s="41"/>
      <c r="K480" s="41"/>
      <c r="L480" s="41"/>
      <c r="M480" s="18"/>
      <c r="N480" s="18"/>
      <c r="O480" s="18"/>
      <c r="P480" s="18"/>
      <c r="Q480" s="18"/>
      <c r="R480" s="18"/>
      <c r="S480" s="18"/>
      <c r="T480" s="18"/>
      <c r="U480" s="18"/>
      <c r="V480" s="18"/>
      <c r="W480" s="18"/>
      <c r="X480" s="18"/>
      <c r="Y480" s="18"/>
      <c r="Z480" s="18"/>
      <c r="AA480" s="18"/>
      <c r="AB480" s="18"/>
    </row>
    <row r="481" spans="1:28" ht="12.5" customHeight="1">
      <c r="A481" s="19">
        <v>480</v>
      </c>
      <c r="B481" s="41" t="s">
        <v>2328</v>
      </c>
      <c r="C481" s="41" t="s">
        <v>2224</v>
      </c>
      <c r="D481" s="25" t="s">
        <v>2329</v>
      </c>
      <c r="E481" s="41" t="s">
        <v>2330</v>
      </c>
      <c r="F481" s="41" t="s">
        <v>2326</v>
      </c>
      <c r="G481" s="41">
        <v>2022</v>
      </c>
      <c r="H481" s="41" t="s">
        <v>2273</v>
      </c>
      <c r="I481" s="41"/>
      <c r="J481" s="41"/>
      <c r="K481" s="41"/>
      <c r="L481" s="41"/>
      <c r="M481" s="18"/>
      <c r="N481" s="18"/>
      <c r="O481" s="18"/>
      <c r="P481" s="18"/>
      <c r="Q481" s="18"/>
      <c r="R481" s="18"/>
      <c r="S481" s="18"/>
      <c r="T481" s="18"/>
      <c r="U481" s="18"/>
      <c r="V481" s="18"/>
      <c r="W481" s="18"/>
      <c r="X481" s="18"/>
      <c r="Y481" s="18"/>
      <c r="Z481" s="18"/>
      <c r="AA481" s="18"/>
      <c r="AB481" s="18"/>
    </row>
    <row r="482" spans="1:28" ht="15.5" customHeight="1">
      <c r="A482" s="19">
        <v>481</v>
      </c>
      <c r="B482" s="41" t="s">
        <v>2331</v>
      </c>
      <c r="C482" s="41" t="s">
        <v>2224</v>
      </c>
      <c r="D482" s="59" t="s">
        <v>2332</v>
      </c>
      <c r="E482" s="41" t="s">
        <v>2333</v>
      </c>
      <c r="F482" s="41" t="s">
        <v>2326</v>
      </c>
      <c r="G482" s="41">
        <v>2014</v>
      </c>
      <c r="H482" s="41" t="s">
        <v>2268</v>
      </c>
      <c r="I482" s="41"/>
      <c r="J482" s="41"/>
      <c r="K482" s="41"/>
      <c r="L482" s="41"/>
      <c r="M482" s="18"/>
      <c r="N482" s="18"/>
      <c r="O482" s="18"/>
      <c r="P482" s="18"/>
      <c r="Q482" s="18"/>
      <c r="R482" s="18"/>
      <c r="S482" s="18"/>
      <c r="T482" s="18"/>
      <c r="U482" s="18"/>
      <c r="V482" s="18"/>
      <c r="W482" s="18"/>
      <c r="X482" s="18"/>
      <c r="Y482" s="18"/>
      <c r="Z482" s="18"/>
      <c r="AA482" s="18"/>
      <c r="AB482" s="18"/>
    </row>
    <row r="483" spans="1:28" ht="14" customHeight="1">
      <c r="A483" s="19">
        <v>482</v>
      </c>
      <c r="B483" s="41" t="s">
        <v>2334</v>
      </c>
      <c r="C483" s="41" t="s">
        <v>2224</v>
      </c>
      <c r="D483" s="56" t="s">
        <v>2335</v>
      </c>
      <c r="E483" s="41" t="s">
        <v>2336</v>
      </c>
      <c r="F483" s="41" t="s">
        <v>2326</v>
      </c>
      <c r="G483" s="41">
        <v>2021</v>
      </c>
      <c r="H483" s="41" t="s">
        <v>2268</v>
      </c>
      <c r="I483" s="41"/>
      <c r="J483" s="41"/>
      <c r="K483" s="41"/>
      <c r="L483" s="41"/>
      <c r="M483" s="18"/>
      <c r="N483" s="18"/>
      <c r="O483" s="18"/>
      <c r="P483" s="18"/>
      <c r="Q483" s="18"/>
      <c r="R483" s="18"/>
      <c r="S483" s="18"/>
      <c r="T483" s="18"/>
      <c r="U483" s="18"/>
      <c r="V483" s="18"/>
      <c r="W483" s="18"/>
      <c r="X483" s="18"/>
      <c r="Y483" s="18"/>
      <c r="Z483" s="18"/>
      <c r="AA483" s="18"/>
      <c r="AB483" s="18"/>
    </row>
    <row r="484" spans="1:28" ht="12.5" customHeight="1">
      <c r="A484" s="19">
        <v>483</v>
      </c>
      <c r="B484" s="41" t="s">
        <v>2337</v>
      </c>
      <c r="C484" s="41" t="s">
        <v>2224</v>
      </c>
      <c r="D484" s="60" t="s">
        <v>2338</v>
      </c>
      <c r="E484" s="41" t="s">
        <v>2339</v>
      </c>
      <c r="F484" s="41" t="s">
        <v>2340</v>
      </c>
      <c r="G484" s="41">
        <v>2004</v>
      </c>
      <c r="H484" s="41" t="s">
        <v>2341</v>
      </c>
      <c r="I484" s="41"/>
      <c r="J484" s="41"/>
      <c r="K484" s="41"/>
      <c r="L484" s="41"/>
      <c r="M484" s="18"/>
      <c r="N484" s="18"/>
      <c r="O484" s="18"/>
      <c r="P484" s="18"/>
      <c r="Q484" s="18"/>
      <c r="R484" s="18"/>
      <c r="S484" s="18"/>
      <c r="T484" s="18"/>
      <c r="U484" s="18"/>
      <c r="V484" s="18"/>
      <c r="W484" s="18"/>
      <c r="X484" s="18"/>
      <c r="Y484" s="18"/>
      <c r="Z484" s="18"/>
      <c r="AA484" s="18"/>
      <c r="AB484" s="18"/>
    </row>
    <row r="485" spans="1:28" ht="14" customHeight="1">
      <c r="A485" s="19">
        <v>484</v>
      </c>
      <c r="B485" s="41" t="s">
        <v>2342</v>
      </c>
      <c r="C485" s="41" t="s">
        <v>2224</v>
      </c>
      <c r="D485" s="56" t="s">
        <v>2343</v>
      </c>
      <c r="E485" s="41" t="s">
        <v>2344</v>
      </c>
      <c r="F485" s="41" t="s">
        <v>2345</v>
      </c>
      <c r="G485" s="41">
        <v>2013</v>
      </c>
      <c r="H485" s="41" t="s">
        <v>2282</v>
      </c>
      <c r="I485" s="41"/>
      <c r="J485" s="41"/>
      <c r="K485" s="41"/>
      <c r="L485" s="41"/>
      <c r="M485" s="18"/>
      <c r="N485" s="18"/>
      <c r="O485" s="18"/>
      <c r="P485" s="18"/>
      <c r="Q485" s="18"/>
      <c r="R485" s="18"/>
      <c r="S485" s="18"/>
      <c r="T485" s="18"/>
      <c r="U485" s="18"/>
      <c r="V485" s="18"/>
      <c r="W485" s="18"/>
      <c r="X485" s="18"/>
      <c r="Y485" s="18"/>
      <c r="Z485" s="18"/>
      <c r="AA485" s="18"/>
      <c r="AB485" s="18"/>
    </row>
    <row r="486" spans="1:28" ht="14" customHeight="1">
      <c r="A486" s="19">
        <v>485</v>
      </c>
      <c r="B486" s="41" t="s">
        <v>2346</v>
      </c>
      <c r="C486" s="41" t="s">
        <v>2224</v>
      </c>
      <c r="D486" s="61" t="s">
        <v>2347</v>
      </c>
      <c r="E486" s="41" t="s">
        <v>2348</v>
      </c>
      <c r="F486" s="41" t="s">
        <v>2349</v>
      </c>
      <c r="G486" s="41">
        <v>2017</v>
      </c>
      <c r="H486" s="41" t="s">
        <v>2350</v>
      </c>
      <c r="I486" s="41"/>
      <c r="J486" s="41"/>
      <c r="K486" s="41"/>
      <c r="L486" s="41"/>
      <c r="M486" s="18"/>
      <c r="N486" s="18"/>
      <c r="O486" s="18"/>
      <c r="P486" s="18"/>
      <c r="Q486" s="18"/>
      <c r="R486" s="18"/>
      <c r="S486" s="18"/>
      <c r="T486" s="18"/>
      <c r="U486" s="18"/>
      <c r="V486" s="18"/>
      <c r="W486" s="18"/>
      <c r="X486" s="18"/>
      <c r="Y486" s="18"/>
      <c r="Z486" s="18"/>
      <c r="AA486" s="18"/>
      <c r="AB486" s="18"/>
    </row>
    <row r="487" spans="1:28" ht="12.5" customHeight="1">
      <c r="A487" s="19">
        <v>486</v>
      </c>
      <c r="B487" s="41" t="s">
        <v>2351</v>
      </c>
      <c r="C487" s="41" t="s">
        <v>2224</v>
      </c>
      <c r="D487" s="41" t="s">
        <v>2352</v>
      </c>
      <c r="E487" s="41" t="s">
        <v>2353</v>
      </c>
      <c r="F487" s="41" t="s">
        <v>2354</v>
      </c>
      <c r="G487" s="41">
        <v>2021</v>
      </c>
      <c r="H487" s="41" t="s">
        <v>2273</v>
      </c>
      <c r="I487" s="41"/>
      <c r="J487" s="41"/>
      <c r="K487" s="41"/>
      <c r="L487" s="41"/>
      <c r="M487" s="18"/>
      <c r="N487" s="18"/>
      <c r="O487" s="18"/>
      <c r="P487" s="18"/>
      <c r="Q487" s="18"/>
      <c r="R487" s="18"/>
      <c r="S487" s="18"/>
      <c r="T487" s="18"/>
      <c r="U487" s="18"/>
      <c r="V487" s="18"/>
      <c r="W487" s="18"/>
      <c r="X487" s="18"/>
      <c r="Y487" s="18"/>
      <c r="Z487" s="18"/>
      <c r="AA487" s="18"/>
      <c r="AB487" s="18"/>
    </row>
    <row r="488" spans="1:28" ht="12.5" customHeight="1">
      <c r="A488" s="23">
        <v>487</v>
      </c>
      <c r="B488" s="23" t="s">
        <v>2355</v>
      </c>
      <c r="C488" s="23" t="s">
        <v>2224</v>
      </c>
      <c r="D488" s="37"/>
      <c r="E488" s="23" t="s">
        <v>2356</v>
      </c>
      <c r="F488" s="23" t="s">
        <v>2357</v>
      </c>
      <c r="G488" s="23">
        <v>2016</v>
      </c>
      <c r="H488" s="23" t="s">
        <v>2358</v>
      </c>
      <c r="I488" s="23"/>
      <c r="J488" s="23"/>
      <c r="K488" s="23"/>
      <c r="L488" s="23"/>
      <c r="M488" s="23"/>
      <c r="N488" s="23"/>
      <c r="O488" s="23"/>
      <c r="P488" s="23"/>
      <c r="Q488" s="23"/>
      <c r="R488" s="23"/>
      <c r="S488" s="23"/>
      <c r="T488" s="23"/>
      <c r="U488" s="23"/>
      <c r="V488" s="23"/>
      <c r="W488" s="23"/>
      <c r="X488" s="23"/>
      <c r="Y488" s="23"/>
      <c r="Z488" s="23"/>
      <c r="AA488" s="23"/>
      <c r="AB488" s="23"/>
    </row>
    <row r="489" spans="1:28" ht="14" customHeight="1">
      <c r="A489" s="19">
        <v>488</v>
      </c>
      <c r="B489" s="41" t="s">
        <v>2359</v>
      </c>
      <c r="C489" s="41" t="s">
        <v>2224</v>
      </c>
      <c r="D489" s="62" t="s">
        <v>2360</v>
      </c>
      <c r="E489" s="41" t="s">
        <v>2361</v>
      </c>
      <c r="F489" s="41" t="s">
        <v>2362</v>
      </c>
      <c r="G489" s="41">
        <v>2019</v>
      </c>
      <c r="H489" s="41" t="s">
        <v>2363</v>
      </c>
      <c r="I489" s="41"/>
      <c r="J489" s="41"/>
      <c r="K489" s="41"/>
      <c r="L489" s="41"/>
      <c r="M489" s="18"/>
      <c r="N489" s="18"/>
      <c r="O489" s="18"/>
      <c r="P489" s="18"/>
      <c r="Q489" s="18"/>
      <c r="R489" s="18"/>
      <c r="S489" s="18"/>
      <c r="T489" s="18"/>
      <c r="U489" s="18"/>
      <c r="V489" s="18"/>
      <c r="W489" s="18"/>
      <c r="X489" s="18"/>
      <c r="Y489" s="18"/>
      <c r="Z489" s="18"/>
      <c r="AA489" s="18"/>
      <c r="AB489" s="18"/>
    </row>
    <row r="490" spans="1:28" ht="12.5" customHeight="1">
      <c r="A490" s="19">
        <v>489</v>
      </c>
      <c r="B490" s="41" t="s">
        <v>2364</v>
      </c>
      <c r="C490" s="41" t="s">
        <v>2224</v>
      </c>
      <c r="D490" s="25" t="s">
        <v>2365</v>
      </c>
      <c r="E490" s="41" t="s">
        <v>2366</v>
      </c>
      <c r="F490" s="41" t="s">
        <v>2367</v>
      </c>
      <c r="G490" s="41">
        <v>2021</v>
      </c>
      <c r="H490" s="41" t="s">
        <v>2256</v>
      </c>
      <c r="I490" s="41"/>
      <c r="J490" s="41"/>
      <c r="K490" s="41"/>
      <c r="L490" s="41"/>
      <c r="M490" s="18"/>
      <c r="N490" s="18"/>
      <c r="O490" s="18"/>
      <c r="P490" s="18"/>
      <c r="Q490" s="18"/>
      <c r="R490" s="18"/>
      <c r="S490" s="18"/>
      <c r="T490" s="18"/>
      <c r="U490" s="18"/>
      <c r="V490" s="18"/>
      <c r="W490" s="18"/>
      <c r="X490" s="18"/>
      <c r="Y490" s="18"/>
      <c r="Z490" s="18"/>
      <c r="AA490" s="18"/>
      <c r="AB490" s="18"/>
    </row>
    <row r="491" spans="1:28" ht="12.5" customHeight="1">
      <c r="A491" s="19">
        <v>490</v>
      </c>
      <c r="B491" s="41" t="s">
        <v>2368</v>
      </c>
      <c r="C491" s="41" t="s">
        <v>2224</v>
      </c>
      <c r="D491" s="4" t="s">
        <v>2369</v>
      </c>
      <c r="E491" s="41" t="s">
        <v>2370</v>
      </c>
      <c r="F491" s="41" t="s">
        <v>2371</v>
      </c>
      <c r="G491" s="41">
        <v>2021</v>
      </c>
      <c r="H491" s="41" t="s">
        <v>2372</v>
      </c>
      <c r="I491" s="41"/>
      <c r="J491" s="41"/>
      <c r="K491" s="41"/>
      <c r="L491" s="41"/>
      <c r="M491" s="18"/>
      <c r="N491" s="18"/>
      <c r="O491" s="18"/>
      <c r="P491" s="18"/>
      <c r="Q491" s="18"/>
      <c r="R491" s="18"/>
      <c r="S491" s="18"/>
      <c r="T491" s="18"/>
      <c r="U491" s="18"/>
      <c r="V491" s="18"/>
      <c r="W491" s="18"/>
      <c r="X491" s="18"/>
      <c r="Y491" s="18"/>
      <c r="Z491" s="18"/>
      <c r="AA491" s="18"/>
      <c r="AB491" s="18"/>
    </row>
    <row r="492" spans="1:28" ht="14" customHeight="1">
      <c r="A492" s="19">
        <v>491</v>
      </c>
      <c r="B492" s="41" t="s">
        <v>2373</v>
      </c>
      <c r="C492" s="41" t="s">
        <v>2224</v>
      </c>
      <c r="D492" s="56" t="s">
        <v>2374</v>
      </c>
      <c r="E492" s="41" t="s">
        <v>2375</v>
      </c>
      <c r="F492" s="41" t="s">
        <v>2376</v>
      </c>
      <c r="G492" s="41">
        <v>2018</v>
      </c>
      <c r="H492" s="41" t="s">
        <v>2377</v>
      </c>
      <c r="I492" s="41"/>
      <c r="J492" s="41"/>
      <c r="K492" s="41"/>
      <c r="L492" s="41"/>
      <c r="M492" s="18"/>
      <c r="N492" s="18"/>
      <c r="O492" s="18"/>
      <c r="P492" s="18"/>
      <c r="Q492" s="18"/>
      <c r="R492" s="18"/>
      <c r="S492" s="18"/>
      <c r="T492" s="18"/>
      <c r="U492" s="18"/>
      <c r="V492" s="18"/>
      <c r="W492" s="18"/>
      <c r="X492" s="18"/>
      <c r="Y492" s="18"/>
      <c r="Z492" s="18"/>
      <c r="AA492" s="18"/>
      <c r="AB492" s="18"/>
    </row>
    <row r="493" spans="1:28" ht="14" customHeight="1">
      <c r="A493" s="23">
        <v>492</v>
      </c>
      <c r="B493" s="23" t="s">
        <v>2378</v>
      </c>
      <c r="C493" s="23" t="s">
        <v>2224</v>
      </c>
      <c r="D493" s="63"/>
      <c r="E493" s="23" t="s">
        <v>2379</v>
      </c>
      <c r="F493" s="23" t="s">
        <v>2380</v>
      </c>
      <c r="G493" s="23">
        <v>2019</v>
      </c>
      <c r="H493" s="23" t="s">
        <v>2381</v>
      </c>
      <c r="I493" s="23"/>
      <c r="J493" s="23"/>
      <c r="K493" s="23"/>
      <c r="L493" s="23"/>
      <c r="M493" s="23"/>
      <c r="N493" s="23"/>
      <c r="O493" s="23"/>
      <c r="P493" s="23"/>
      <c r="Q493" s="23"/>
      <c r="R493" s="23"/>
      <c r="S493" s="23"/>
      <c r="T493" s="23"/>
      <c r="U493" s="23"/>
      <c r="V493" s="23"/>
      <c r="W493" s="23"/>
      <c r="X493" s="23"/>
      <c r="Y493" s="23"/>
      <c r="Z493" s="23"/>
      <c r="AA493" s="23"/>
      <c r="AB493" s="23"/>
    </row>
    <row r="494" spans="1:28" ht="12.5" customHeight="1">
      <c r="A494" s="19">
        <v>493</v>
      </c>
      <c r="B494" s="41" t="s">
        <v>2382</v>
      </c>
      <c r="C494" s="41" t="s">
        <v>2224</v>
      </c>
      <c r="D494" s="4" t="s">
        <v>2383</v>
      </c>
      <c r="E494" s="41" t="s">
        <v>2384</v>
      </c>
      <c r="F494" s="41" t="s">
        <v>2385</v>
      </c>
      <c r="G494" s="41">
        <v>2013</v>
      </c>
      <c r="H494" s="41" t="s">
        <v>2264</v>
      </c>
      <c r="I494" s="41"/>
      <c r="J494" s="41"/>
      <c r="K494" s="41"/>
      <c r="L494" s="41"/>
      <c r="M494" s="18"/>
      <c r="N494" s="18"/>
      <c r="O494" s="18"/>
      <c r="P494" s="18"/>
      <c r="Q494" s="18"/>
      <c r="R494" s="18"/>
      <c r="S494" s="18"/>
      <c r="T494" s="18"/>
      <c r="U494" s="18"/>
      <c r="V494" s="18"/>
      <c r="W494" s="18"/>
      <c r="X494" s="18"/>
      <c r="Y494" s="18"/>
      <c r="Z494" s="18"/>
      <c r="AA494" s="18"/>
      <c r="AB494" s="18"/>
    </row>
    <row r="495" spans="1:28" ht="15.5" customHeight="1">
      <c r="A495" s="19">
        <v>494</v>
      </c>
      <c r="B495" s="41" t="s">
        <v>2386</v>
      </c>
      <c r="C495" s="41" t="s">
        <v>2224</v>
      </c>
      <c r="D495" s="32" t="s">
        <v>2387</v>
      </c>
      <c r="E495" s="41" t="s">
        <v>2388</v>
      </c>
      <c r="F495" s="41" t="s">
        <v>2389</v>
      </c>
      <c r="G495" s="41">
        <v>2018</v>
      </c>
      <c r="H495" s="41" t="s">
        <v>2264</v>
      </c>
      <c r="I495" s="41"/>
      <c r="J495" s="41"/>
      <c r="K495" s="41"/>
      <c r="L495" s="41"/>
      <c r="M495" s="18"/>
      <c r="N495" s="18"/>
      <c r="O495" s="18"/>
      <c r="P495" s="18"/>
      <c r="Q495" s="18"/>
      <c r="R495" s="18"/>
      <c r="S495" s="18"/>
      <c r="T495" s="18"/>
      <c r="U495" s="18"/>
      <c r="V495" s="18"/>
      <c r="W495" s="18"/>
      <c r="X495" s="18"/>
      <c r="Y495" s="18"/>
      <c r="Z495" s="18"/>
      <c r="AA495" s="18"/>
      <c r="AB495" s="18"/>
    </row>
    <row r="496" spans="1:28" ht="12.5" customHeight="1">
      <c r="A496" s="23">
        <v>495</v>
      </c>
      <c r="B496" s="23" t="s">
        <v>2390</v>
      </c>
      <c r="C496" s="23" t="s">
        <v>2224</v>
      </c>
      <c r="D496" s="23"/>
      <c r="E496" s="23" t="s">
        <v>2391</v>
      </c>
      <c r="F496" s="23" t="s">
        <v>2392</v>
      </c>
      <c r="G496" s="23">
        <v>2021</v>
      </c>
      <c r="H496" s="23" t="s">
        <v>2393</v>
      </c>
      <c r="I496" s="23"/>
      <c r="J496" s="23"/>
      <c r="K496" s="23"/>
      <c r="L496" s="23"/>
      <c r="M496" s="23"/>
      <c r="N496" s="23"/>
      <c r="O496" s="23"/>
      <c r="P496" s="23"/>
      <c r="Q496" s="23"/>
      <c r="R496" s="23"/>
      <c r="S496" s="23"/>
      <c r="T496" s="23"/>
      <c r="U496" s="23"/>
      <c r="V496" s="23"/>
      <c r="W496" s="23"/>
      <c r="X496" s="23"/>
      <c r="Y496" s="23"/>
      <c r="Z496" s="23"/>
      <c r="AA496" s="23"/>
      <c r="AB496" s="23"/>
    </row>
    <row r="497" spans="1:28" ht="12.5" customHeight="1">
      <c r="A497" s="19">
        <v>496</v>
      </c>
      <c r="B497" s="41" t="s">
        <v>2394</v>
      </c>
      <c r="C497" s="41" t="s">
        <v>2224</v>
      </c>
      <c r="D497" s="4" t="s">
        <v>2395</v>
      </c>
      <c r="E497" s="41" t="s">
        <v>2396</v>
      </c>
      <c r="F497" s="41" t="s">
        <v>2397</v>
      </c>
      <c r="G497" s="41">
        <v>1986</v>
      </c>
      <c r="H497" s="41" t="s">
        <v>2398</v>
      </c>
      <c r="I497" s="41"/>
      <c r="J497" s="41"/>
      <c r="K497" s="41"/>
      <c r="L497" s="41"/>
      <c r="M497" s="18"/>
      <c r="N497" s="18"/>
      <c r="O497" s="18"/>
      <c r="P497" s="18"/>
      <c r="Q497" s="18"/>
      <c r="R497" s="18"/>
      <c r="S497" s="18"/>
      <c r="T497" s="18"/>
      <c r="U497" s="18"/>
      <c r="V497" s="18"/>
      <c r="W497" s="18"/>
      <c r="X497" s="18"/>
      <c r="Y497" s="18"/>
      <c r="Z497" s="18"/>
      <c r="AA497" s="18"/>
      <c r="AB497" s="18"/>
    </row>
    <row r="498" spans="1:28" ht="12.5" customHeight="1">
      <c r="A498" s="19">
        <v>497</v>
      </c>
      <c r="B498" s="41" t="s">
        <v>2399</v>
      </c>
      <c r="C498" s="41" t="s">
        <v>2224</v>
      </c>
      <c r="D498" s="25" t="s">
        <v>2400</v>
      </c>
      <c r="E498" s="41" t="s">
        <v>2401</v>
      </c>
      <c r="F498" s="41" t="s">
        <v>2402</v>
      </c>
      <c r="G498" s="41">
        <v>2020</v>
      </c>
      <c r="H498" s="41" t="s">
        <v>2273</v>
      </c>
      <c r="I498" s="41"/>
      <c r="J498" s="41"/>
      <c r="K498" s="41"/>
      <c r="L498" s="41"/>
      <c r="M498" s="18"/>
      <c r="N498" s="18"/>
      <c r="O498" s="18"/>
      <c r="P498" s="18"/>
      <c r="Q498" s="18"/>
      <c r="R498" s="18"/>
      <c r="S498" s="18"/>
      <c r="T498" s="18"/>
      <c r="U498" s="18"/>
      <c r="V498" s="18"/>
      <c r="W498" s="18"/>
      <c r="X498" s="18"/>
      <c r="Y498" s="18"/>
      <c r="Z498" s="18"/>
      <c r="AA498" s="18"/>
      <c r="AB498" s="18"/>
    </row>
    <row r="499" spans="1:28" ht="12.5" customHeight="1">
      <c r="A499" s="19">
        <v>498</v>
      </c>
      <c r="B499" s="41" t="s">
        <v>2403</v>
      </c>
      <c r="C499" s="41" t="s">
        <v>2224</v>
      </c>
      <c r="D499" s="4" t="s">
        <v>2404</v>
      </c>
      <c r="E499" s="41" t="s">
        <v>2405</v>
      </c>
      <c r="F499" s="41" t="s">
        <v>2402</v>
      </c>
      <c r="G499" s="41">
        <v>2010</v>
      </c>
      <c r="H499" s="41" t="s">
        <v>2273</v>
      </c>
      <c r="I499" s="41"/>
      <c r="J499" s="41"/>
      <c r="K499" s="41"/>
      <c r="L499" s="41"/>
      <c r="M499" s="18"/>
      <c r="N499" s="18"/>
      <c r="O499" s="18"/>
      <c r="P499" s="18"/>
      <c r="Q499" s="18"/>
      <c r="R499" s="18"/>
      <c r="S499" s="18"/>
      <c r="T499" s="18"/>
      <c r="U499" s="18"/>
      <c r="V499" s="18"/>
      <c r="W499" s="18"/>
      <c r="X499" s="18"/>
      <c r="Y499" s="18"/>
      <c r="Z499" s="18"/>
      <c r="AA499" s="18"/>
      <c r="AB499" s="18"/>
    </row>
    <row r="500" spans="1:28" ht="12.5" customHeight="1">
      <c r="A500" s="19">
        <v>499</v>
      </c>
      <c r="B500" s="41" t="s">
        <v>2406</v>
      </c>
      <c r="C500" s="41" t="s">
        <v>2224</v>
      </c>
      <c r="D500" s="64" t="s">
        <v>2407</v>
      </c>
      <c r="E500" s="41" t="s">
        <v>2408</v>
      </c>
      <c r="F500" s="41" t="s">
        <v>2402</v>
      </c>
      <c r="G500" s="41">
        <v>2021</v>
      </c>
      <c r="H500" s="41" t="s">
        <v>2409</v>
      </c>
      <c r="I500" s="41"/>
      <c r="J500" s="41"/>
      <c r="K500" s="41"/>
      <c r="L500" s="41"/>
      <c r="M500" s="18"/>
      <c r="N500" s="18"/>
      <c r="O500" s="18"/>
      <c r="P500" s="18"/>
      <c r="Q500" s="18"/>
      <c r="R500" s="18"/>
      <c r="S500" s="18"/>
      <c r="T500" s="18"/>
      <c r="U500" s="18"/>
      <c r="V500" s="18"/>
      <c r="W500" s="18"/>
      <c r="X500" s="18"/>
      <c r="Y500" s="18"/>
      <c r="Z500" s="18"/>
      <c r="AA500" s="18"/>
      <c r="AB500" s="18"/>
    </row>
    <row r="501" spans="1:28" ht="12.5" customHeight="1">
      <c r="A501" s="19">
        <v>500</v>
      </c>
      <c r="B501" s="41" t="s">
        <v>2410</v>
      </c>
      <c r="C501" s="41" t="s">
        <v>2224</v>
      </c>
      <c r="D501" s="4" t="s">
        <v>2411</v>
      </c>
      <c r="E501" s="41" t="s">
        <v>2412</v>
      </c>
      <c r="F501" s="41" t="s">
        <v>2413</v>
      </c>
      <c r="G501" s="41">
        <v>2019</v>
      </c>
      <c r="H501" s="41" t="s">
        <v>2372</v>
      </c>
      <c r="I501" s="41"/>
      <c r="J501" s="41"/>
      <c r="K501" s="41"/>
      <c r="L501" s="41"/>
      <c r="M501" s="18"/>
      <c r="N501" s="18"/>
      <c r="O501" s="18"/>
      <c r="P501" s="18"/>
      <c r="Q501" s="18"/>
      <c r="R501" s="18"/>
      <c r="S501" s="18"/>
      <c r="T501" s="18"/>
      <c r="U501" s="18"/>
      <c r="V501" s="18"/>
      <c r="W501" s="18"/>
      <c r="X501" s="18"/>
      <c r="Y501" s="18"/>
      <c r="Z501" s="18"/>
      <c r="AA501" s="18"/>
      <c r="AB501" s="18"/>
    </row>
    <row r="502" spans="1:28" ht="12.5" customHeight="1">
      <c r="A502" s="19">
        <v>501</v>
      </c>
      <c r="B502" s="41" t="s">
        <v>2414</v>
      </c>
      <c r="C502" s="41" t="s">
        <v>2224</v>
      </c>
      <c r="D502" s="4" t="s">
        <v>2415</v>
      </c>
      <c r="E502" s="41" t="s">
        <v>2416</v>
      </c>
      <c r="F502" s="41" t="s">
        <v>2417</v>
      </c>
      <c r="G502" s="41">
        <v>2020</v>
      </c>
      <c r="H502" s="41" t="s">
        <v>2418</v>
      </c>
      <c r="I502" s="41"/>
      <c r="J502" s="41"/>
      <c r="K502" s="41"/>
      <c r="L502" s="41"/>
      <c r="M502" s="18"/>
      <c r="N502" s="18"/>
      <c r="O502" s="18"/>
      <c r="P502" s="18"/>
      <c r="Q502" s="18"/>
      <c r="R502" s="18"/>
      <c r="S502" s="18"/>
      <c r="T502" s="18"/>
      <c r="U502" s="18"/>
      <c r="V502" s="18"/>
      <c r="W502" s="18"/>
      <c r="X502" s="18"/>
      <c r="Y502" s="18"/>
      <c r="Z502" s="18"/>
      <c r="AA502" s="18"/>
      <c r="AB502" s="18"/>
    </row>
    <row r="503" spans="1:28" ht="15.5" customHeight="1">
      <c r="A503" s="19">
        <v>502</v>
      </c>
      <c r="B503" s="41" t="s">
        <v>2419</v>
      </c>
      <c r="C503" s="41" t="s">
        <v>2224</v>
      </c>
      <c r="D503" s="65" t="s">
        <v>2420</v>
      </c>
      <c r="E503" s="41" t="s">
        <v>2421</v>
      </c>
      <c r="F503" s="41" t="s">
        <v>2422</v>
      </c>
      <c r="G503" s="41">
        <v>2018</v>
      </c>
      <c r="H503" s="41" t="s">
        <v>2246</v>
      </c>
      <c r="I503" s="41"/>
      <c r="J503" s="41"/>
      <c r="K503" s="41"/>
      <c r="L503" s="41"/>
      <c r="M503" s="18"/>
      <c r="N503" s="18"/>
      <c r="O503" s="18"/>
      <c r="P503" s="18"/>
      <c r="Q503" s="18"/>
      <c r="R503" s="18"/>
      <c r="S503" s="18"/>
      <c r="T503" s="18"/>
      <c r="U503" s="18"/>
      <c r="V503" s="18"/>
      <c r="W503" s="18"/>
      <c r="X503" s="18"/>
      <c r="Y503" s="18"/>
      <c r="Z503" s="18"/>
      <c r="AA503" s="18"/>
      <c r="AB503" s="18"/>
    </row>
    <row r="504" spans="1:28" ht="12.5" customHeight="1">
      <c r="A504" s="19">
        <v>503</v>
      </c>
      <c r="B504" s="41" t="s">
        <v>2423</v>
      </c>
      <c r="C504" s="41" t="s">
        <v>2224</v>
      </c>
      <c r="D504" s="25" t="s">
        <v>2424</v>
      </c>
      <c r="E504" s="41" t="s">
        <v>2425</v>
      </c>
      <c r="F504" s="41" t="s">
        <v>2426</v>
      </c>
      <c r="G504" s="41">
        <v>2022</v>
      </c>
      <c r="H504" s="41" t="s">
        <v>2273</v>
      </c>
      <c r="I504" s="41"/>
      <c r="J504" s="41"/>
      <c r="K504" s="41"/>
      <c r="L504" s="41"/>
      <c r="M504" s="18"/>
      <c r="N504" s="18"/>
      <c r="O504" s="18"/>
      <c r="P504" s="18"/>
      <c r="Q504" s="18"/>
      <c r="R504" s="18"/>
      <c r="S504" s="18"/>
      <c r="T504" s="18"/>
      <c r="U504" s="18"/>
      <c r="V504" s="18"/>
      <c r="W504" s="18"/>
      <c r="X504" s="18"/>
      <c r="Y504" s="18"/>
      <c r="Z504" s="18"/>
      <c r="AA504" s="18"/>
      <c r="AB504" s="18"/>
    </row>
    <row r="505" spans="1:28" ht="12.5" customHeight="1">
      <c r="A505" s="19">
        <v>504</v>
      </c>
      <c r="B505" s="41" t="s">
        <v>2427</v>
      </c>
      <c r="C505" s="41" t="s">
        <v>2224</v>
      </c>
      <c r="D505" s="4" t="s">
        <v>2428</v>
      </c>
      <c r="E505" s="41" t="s">
        <v>2429</v>
      </c>
      <c r="F505" s="41" t="s">
        <v>2430</v>
      </c>
      <c r="G505" s="41">
        <v>2015</v>
      </c>
      <c r="H505" s="41" t="s">
        <v>2251</v>
      </c>
      <c r="I505" s="41"/>
      <c r="J505" s="41"/>
      <c r="K505" s="41"/>
      <c r="L505" s="41"/>
      <c r="M505" s="18"/>
      <c r="N505" s="18"/>
      <c r="O505" s="18"/>
      <c r="P505" s="18"/>
      <c r="Q505" s="18"/>
      <c r="R505" s="18"/>
      <c r="S505" s="18"/>
      <c r="T505" s="18"/>
      <c r="U505" s="18"/>
      <c r="V505" s="18"/>
      <c r="W505" s="18"/>
      <c r="X505" s="18"/>
      <c r="Y505" s="18"/>
      <c r="Z505" s="18"/>
      <c r="AA505" s="18"/>
      <c r="AB505" s="18"/>
    </row>
    <row r="506" spans="1:28" ht="12.5" customHeight="1">
      <c r="A506" s="19">
        <v>505</v>
      </c>
      <c r="B506" s="41" t="s">
        <v>2431</v>
      </c>
      <c r="C506" s="41" t="s">
        <v>2224</v>
      </c>
      <c r="D506" s="4" t="s">
        <v>2432</v>
      </c>
      <c r="E506" s="41" t="s">
        <v>2433</v>
      </c>
      <c r="F506" s="41" t="s">
        <v>2434</v>
      </c>
      <c r="G506" s="41">
        <v>2015</v>
      </c>
      <c r="H506" s="41" t="s">
        <v>2435</v>
      </c>
      <c r="I506" s="41"/>
      <c r="J506" s="41"/>
      <c r="K506" s="41"/>
      <c r="L506" s="41"/>
      <c r="M506" s="18"/>
      <c r="N506" s="18"/>
      <c r="O506" s="18"/>
      <c r="P506" s="18"/>
      <c r="Q506" s="18"/>
      <c r="R506" s="18"/>
      <c r="S506" s="18"/>
      <c r="T506" s="18"/>
      <c r="U506" s="18"/>
      <c r="V506" s="18"/>
      <c r="W506" s="18"/>
      <c r="X506" s="18"/>
      <c r="Y506" s="18"/>
      <c r="Z506" s="18"/>
      <c r="AA506" s="18"/>
      <c r="AB506" s="18"/>
    </row>
    <row r="507" spans="1:28" ht="12.5" customHeight="1">
      <c r="A507" s="19">
        <v>506</v>
      </c>
      <c r="B507" s="41" t="s">
        <v>2436</v>
      </c>
      <c r="C507" s="41" t="s">
        <v>2224</v>
      </c>
      <c r="D507" s="4" t="s">
        <v>2437</v>
      </c>
      <c r="E507" s="41" t="s">
        <v>2438</v>
      </c>
      <c r="F507" s="41" t="s">
        <v>2434</v>
      </c>
      <c r="G507" s="41">
        <v>2016</v>
      </c>
      <c r="H507" s="41" t="s">
        <v>2439</v>
      </c>
      <c r="I507" s="41"/>
      <c r="J507" s="41"/>
      <c r="K507" s="41"/>
      <c r="L507" s="41"/>
      <c r="M507" s="18"/>
      <c r="N507" s="18"/>
      <c r="O507" s="18"/>
      <c r="P507" s="18"/>
      <c r="Q507" s="18"/>
      <c r="R507" s="18"/>
      <c r="S507" s="18"/>
      <c r="T507" s="18"/>
      <c r="U507" s="18"/>
      <c r="V507" s="18"/>
      <c r="W507" s="18"/>
      <c r="X507" s="18"/>
      <c r="Y507" s="18"/>
      <c r="Z507" s="18"/>
      <c r="AA507" s="18"/>
      <c r="AB507" s="18"/>
    </row>
    <row r="508" spans="1:28" ht="12.5" customHeight="1">
      <c r="A508" s="19">
        <v>507</v>
      </c>
      <c r="B508" s="41" t="s">
        <v>2440</v>
      </c>
      <c r="C508" s="41" t="s">
        <v>2224</v>
      </c>
      <c r="D508" s="4" t="s">
        <v>2441</v>
      </c>
      <c r="E508" s="41" t="s">
        <v>2442</v>
      </c>
      <c r="F508" s="41" t="s">
        <v>2443</v>
      </c>
      <c r="G508" s="41">
        <v>2021</v>
      </c>
      <c r="H508" s="41" t="s">
        <v>2444</v>
      </c>
      <c r="I508" s="41"/>
      <c r="J508" s="41"/>
      <c r="K508" s="41"/>
      <c r="L508" s="41"/>
      <c r="M508" s="18"/>
      <c r="N508" s="18"/>
      <c r="O508" s="18"/>
      <c r="P508" s="18"/>
      <c r="Q508" s="18"/>
      <c r="R508" s="18"/>
      <c r="S508" s="18"/>
      <c r="T508" s="18"/>
      <c r="U508" s="18"/>
      <c r="V508" s="18"/>
      <c r="W508" s="18"/>
      <c r="X508" s="18"/>
      <c r="Y508" s="18"/>
      <c r="Z508" s="18"/>
      <c r="AA508" s="18"/>
      <c r="AB508" s="18"/>
    </row>
    <row r="509" spans="1:28" ht="12.5" customHeight="1">
      <c r="A509" s="23">
        <v>508</v>
      </c>
      <c r="B509" s="23" t="s">
        <v>2445</v>
      </c>
      <c r="C509" s="23" t="s">
        <v>2224</v>
      </c>
      <c r="D509" s="23"/>
      <c r="E509" s="23" t="s">
        <v>2446</v>
      </c>
      <c r="F509" s="23" t="s">
        <v>2447</v>
      </c>
      <c r="G509" s="23">
        <v>2017</v>
      </c>
      <c r="H509" s="23" t="s">
        <v>2448</v>
      </c>
      <c r="I509" s="23"/>
      <c r="J509" s="23"/>
      <c r="K509" s="23"/>
      <c r="L509" s="23"/>
      <c r="M509" s="23"/>
      <c r="N509" s="23"/>
      <c r="O509" s="23"/>
      <c r="P509" s="23"/>
      <c r="Q509" s="23"/>
      <c r="R509" s="23"/>
      <c r="S509" s="23"/>
      <c r="T509" s="23"/>
      <c r="U509" s="23"/>
      <c r="V509" s="23"/>
      <c r="W509" s="23"/>
      <c r="X509" s="23"/>
      <c r="Y509" s="23"/>
      <c r="Z509" s="23"/>
      <c r="AA509" s="23"/>
      <c r="AB509" s="23"/>
    </row>
    <row r="510" spans="1:28" ht="12.5" customHeight="1">
      <c r="A510" s="23">
        <v>509</v>
      </c>
      <c r="B510" s="23" t="s">
        <v>2449</v>
      </c>
      <c r="C510" s="23" t="s">
        <v>2224</v>
      </c>
      <c r="D510" s="23"/>
      <c r="E510" s="23" t="s">
        <v>2450</v>
      </c>
      <c r="F510" s="23" t="s">
        <v>2451</v>
      </c>
      <c r="G510" s="23">
        <v>2015</v>
      </c>
      <c r="H510" s="23" t="s">
        <v>2302</v>
      </c>
      <c r="I510" s="23"/>
      <c r="J510" s="23"/>
      <c r="K510" s="23"/>
      <c r="L510" s="23"/>
      <c r="M510" s="23"/>
      <c r="N510" s="23"/>
      <c r="O510" s="23"/>
      <c r="P510" s="23"/>
      <c r="Q510" s="23"/>
      <c r="R510" s="23"/>
      <c r="S510" s="23"/>
      <c r="T510" s="23"/>
      <c r="U510" s="23"/>
      <c r="V510" s="23"/>
      <c r="W510" s="23"/>
      <c r="X510" s="23"/>
      <c r="Y510" s="23"/>
      <c r="Z510" s="23"/>
      <c r="AA510" s="23"/>
      <c r="AB510" s="23"/>
    </row>
    <row r="511" spans="1:28" ht="12.5" customHeight="1">
      <c r="A511" s="23">
        <v>510</v>
      </c>
      <c r="B511" s="23" t="s">
        <v>2452</v>
      </c>
      <c r="C511" s="23" t="s">
        <v>2224</v>
      </c>
      <c r="D511" s="23"/>
      <c r="E511" s="23" t="s">
        <v>2453</v>
      </c>
      <c r="F511" s="23" t="s">
        <v>2451</v>
      </c>
      <c r="G511" s="23">
        <v>2019</v>
      </c>
      <c r="H511" s="23" t="s">
        <v>2302</v>
      </c>
      <c r="I511" s="23"/>
      <c r="J511" s="23"/>
      <c r="K511" s="23"/>
      <c r="L511" s="23"/>
      <c r="M511" s="23"/>
      <c r="N511" s="23"/>
      <c r="O511" s="23"/>
      <c r="P511" s="23"/>
      <c r="Q511" s="23"/>
      <c r="R511" s="23"/>
      <c r="S511" s="23"/>
      <c r="T511" s="23"/>
      <c r="U511" s="23"/>
      <c r="V511" s="23"/>
      <c r="W511" s="23"/>
      <c r="X511" s="23"/>
      <c r="Y511" s="23"/>
      <c r="Z511" s="23"/>
      <c r="AA511" s="23"/>
      <c r="AB511" s="23"/>
    </row>
    <row r="512" spans="1:28" ht="12.5" customHeight="1">
      <c r="A512" s="19">
        <v>511</v>
      </c>
      <c r="B512" s="41" t="s">
        <v>2454</v>
      </c>
      <c r="C512" s="41" t="s">
        <v>2224</v>
      </c>
      <c r="D512" s="4" t="s">
        <v>2455</v>
      </c>
      <c r="E512" s="41" t="s">
        <v>2456</v>
      </c>
      <c r="F512" s="41" t="s">
        <v>2457</v>
      </c>
      <c r="G512" s="41">
        <v>2018</v>
      </c>
      <c r="H512" s="41" t="s">
        <v>2458</v>
      </c>
      <c r="I512" s="41"/>
      <c r="J512" s="41"/>
      <c r="K512" s="41"/>
      <c r="L512" s="41"/>
      <c r="M512" s="18"/>
      <c r="N512" s="18"/>
      <c r="O512" s="18"/>
      <c r="P512" s="18"/>
      <c r="Q512" s="18"/>
      <c r="R512" s="18"/>
      <c r="S512" s="18"/>
      <c r="T512" s="18"/>
      <c r="U512" s="18"/>
      <c r="V512" s="18"/>
      <c r="W512" s="18"/>
      <c r="X512" s="18"/>
      <c r="Y512" s="18"/>
      <c r="Z512" s="18"/>
      <c r="AA512" s="18"/>
      <c r="AB512" s="18"/>
    </row>
    <row r="513" spans="1:28" ht="19" customHeight="1">
      <c r="A513" s="23">
        <v>512</v>
      </c>
      <c r="B513" s="23" t="s">
        <v>2459</v>
      </c>
      <c r="C513" s="23" t="s">
        <v>2460</v>
      </c>
      <c r="D513" s="66"/>
      <c r="E513" s="23" t="s">
        <v>2461</v>
      </c>
      <c r="F513" s="23" t="s">
        <v>2462</v>
      </c>
      <c r="G513" s="23">
        <v>1997</v>
      </c>
      <c r="H513" s="23" t="s">
        <v>2463</v>
      </c>
      <c r="I513" s="23" t="str">
        <f t="shared" ref="I513:I605" si="4">IF(G513="","",
  IF(G513&lt;=PERCENTILE(IF($C:$C=C513,$G:$G),0.33),"Early",
    IF(G513&lt;=PERCENTILE(IF($C:$C=C513,$G:$G),0.67),"Middle","Recent")))</f>
        <v>Early</v>
      </c>
      <c r="J513" s="23" t="str">
        <f t="shared" ref="J513:J605" si="5">IF(D513&lt;&gt;"","Yes","No")</f>
        <v>No</v>
      </c>
      <c r="K513" s="23"/>
      <c r="L513" s="23"/>
      <c r="M513" s="23"/>
      <c r="N513" s="23"/>
      <c r="O513" s="23"/>
      <c r="P513" s="23"/>
      <c r="Q513" s="23"/>
      <c r="R513" s="23"/>
      <c r="S513" s="23"/>
      <c r="T513" s="23"/>
      <c r="U513" s="23"/>
      <c r="V513" s="23"/>
      <c r="W513" s="23"/>
      <c r="X513" s="23"/>
      <c r="Y513" s="23"/>
      <c r="Z513" s="23"/>
      <c r="AA513" s="23"/>
      <c r="AB513" s="23"/>
    </row>
    <row r="514" spans="1:28" ht="12.5" customHeight="1">
      <c r="A514" s="23">
        <v>513</v>
      </c>
      <c r="B514" s="23" t="s">
        <v>2464</v>
      </c>
      <c r="C514" s="23" t="s">
        <v>2460</v>
      </c>
      <c r="D514" s="23"/>
      <c r="E514" s="23" t="s">
        <v>2465</v>
      </c>
      <c r="F514" s="23" t="s">
        <v>2466</v>
      </c>
      <c r="G514" s="23">
        <v>2016</v>
      </c>
      <c r="H514" s="23" t="s">
        <v>2467</v>
      </c>
      <c r="I514" s="23" t="str">
        <f t="shared" si="4"/>
        <v>Middle</v>
      </c>
      <c r="J514" s="23" t="str">
        <f t="shared" si="5"/>
        <v>No</v>
      </c>
      <c r="K514" s="23"/>
      <c r="L514" s="23"/>
      <c r="M514" s="23"/>
      <c r="N514" s="23"/>
      <c r="O514" s="23"/>
      <c r="P514" s="23"/>
      <c r="Q514" s="23"/>
      <c r="R514" s="23"/>
      <c r="S514" s="23"/>
      <c r="T514" s="23"/>
      <c r="U514" s="23"/>
      <c r="V514" s="23"/>
      <c r="W514" s="23"/>
      <c r="X514" s="23"/>
      <c r="Y514" s="23"/>
      <c r="Z514" s="23"/>
      <c r="AA514" s="23"/>
      <c r="AB514" s="23"/>
    </row>
    <row r="515" spans="1:28" ht="12.5" customHeight="1">
      <c r="A515" s="19">
        <v>514</v>
      </c>
      <c r="B515" s="30" t="s">
        <v>2468</v>
      </c>
      <c r="C515" s="30" t="s">
        <v>2460</v>
      </c>
      <c r="D515" s="4" t="s">
        <v>2469</v>
      </c>
      <c r="E515" s="30" t="s">
        <v>2470</v>
      </c>
      <c r="F515" s="30" t="s">
        <v>2471</v>
      </c>
      <c r="G515" s="30">
        <v>2004</v>
      </c>
      <c r="H515" s="30" t="s">
        <v>2472</v>
      </c>
      <c r="I515" s="30" t="str">
        <f t="shared" si="4"/>
        <v>Early</v>
      </c>
      <c r="J515" s="30" t="str">
        <f t="shared" si="5"/>
        <v>Yes</v>
      </c>
      <c r="K515" s="30"/>
      <c r="L515" s="30"/>
      <c r="M515" s="18"/>
      <c r="N515" s="18"/>
      <c r="O515" s="18"/>
      <c r="P515" s="18"/>
      <c r="Q515" s="18"/>
      <c r="R515" s="18"/>
      <c r="S515" s="18"/>
      <c r="T515" s="18"/>
      <c r="U515" s="18"/>
      <c r="V515" s="18"/>
      <c r="W515" s="18"/>
      <c r="X515" s="18"/>
      <c r="Y515" s="18"/>
      <c r="Z515" s="18"/>
      <c r="AA515" s="18"/>
      <c r="AB515" s="18"/>
    </row>
    <row r="516" spans="1:28" ht="12.5" customHeight="1">
      <c r="A516" s="19">
        <v>515</v>
      </c>
      <c r="B516" s="30" t="s">
        <v>2473</v>
      </c>
      <c r="C516" s="30" t="s">
        <v>2460</v>
      </c>
      <c r="D516" s="4" t="s">
        <v>2474</v>
      </c>
      <c r="E516" s="30" t="s">
        <v>2475</v>
      </c>
      <c r="F516" s="30" t="s">
        <v>316</v>
      </c>
      <c r="G516" s="30">
        <v>2017</v>
      </c>
      <c r="H516" s="30" t="s">
        <v>2476</v>
      </c>
      <c r="I516" s="30" t="str">
        <f t="shared" si="4"/>
        <v>Middle</v>
      </c>
      <c r="J516" s="30" t="str">
        <f t="shared" si="5"/>
        <v>Yes</v>
      </c>
      <c r="K516" s="30"/>
      <c r="L516" s="30"/>
      <c r="M516" s="18"/>
      <c r="N516" s="18"/>
      <c r="O516" s="18"/>
      <c r="P516" s="18"/>
      <c r="Q516" s="18"/>
      <c r="R516" s="18"/>
      <c r="S516" s="18"/>
      <c r="T516" s="18"/>
      <c r="U516" s="18"/>
      <c r="V516" s="18"/>
      <c r="W516" s="18"/>
      <c r="X516" s="18"/>
      <c r="Y516" s="18"/>
      <c r="Z516" s="18"/>
      <c r="AA516" s="18"/>
      <c r="AB516" s="18"/>
    </row>
    <row r="517" spans="1:28" ht="15.5" customHeight="1">
      <c r="A517" s="19">
        <v>516</v>
      </c>
      <c r="B517" s="30" t="s">
        <v>2477</v>
      </c>
      <c r="C517" s="30" t="s">
        <v>2460</v>
      </c>
      <c r="D517" s="32" t="s">
        <v>2478</v>
      </c>
      <c r="E517" s="30" t="s">
        <v>2479</v>
      </c>
      <c r="F517" s="30" t="s">
        <v>2480</v>
      </c>
      <c r="G517" s="30">
        <v>2003</v>
      </c>
      <c r="H517" s="30" t="s">
        <v>2481</v>
      </c>
      <c r="I517" s="30" t="str">
        <f t="shared" si="4"/>
        <v>Early</v>
      </c>
      <c r="J517" s="30" t="str">
        <f t="shared" si="5"/>
        <v>Yes</v>
      </c>
      <c r="K517" s="30"/>
      <c r="L517" s="30"/>
      <c r="M517" s="18"/>
      <c r="N517" s="18"/>
      <c r="O517" s="18"/>
      <c r="P517" s="18"/>
      <c r="Q517" s="18"/>
      <c r="R517" s="18"/>
      <c r="S517" s="18"/>
      <c r="T517" s="18"/>
      <c r="U517" s="18"/>
      <c r="V517" s="18"/>
      <c r="W517" s="18"/>
      <c r="X517" s="18"/>
      <c r="Y517" s="18"/>
      <c r="Z517" s="18"/>
      <c r="AA517" s="18"/>
      <c r="AB517" s="18"/>
    </row>
    <row r="518" spans="1:28" ht="12.5" customHeight="1">
      <c r="A518" s="19">
        <v>517</v>
      </c>
      <c r="B518" s="30" t="s">
        <v>2482</v>
      </c>
      <c r="C518" s="30" t="s">
        <v>2460</v>
      </c>
      <c r="D518" s="4" t="s">
        <v>2483</v>
      </c>
      <c r="E518" s="30" t="s">
        <v>2484</v>
      </c>
      <c r="F518" s="30" t="s">
        <v>2485</v>
      </c>
      <c r="G518" s="30">
        <v>2007</v>
      </c>
      <c r="H518" s="30" t="s">
        <v>2472</v>
      </c>
      <c r="I518" s="30" t="str">
        <f t="shared" si="4"/>
        <v>Early</v>
      </c>
      <c r="J518" s="30" t="str">
        <f t="shared" si="5"/>
        <v>Yes</v>
      </c>
      <c r="K518" s="30"/>
      <c r="L518" s="30"/>
      <c r="M518" s="18"/>
      <c r="N518" s="18"/>
      <c r="O518" s="18"/>
      <c r="P518" s="18"/>
      <c r="Q518" s="18"/>
      <c r="R518" s="18"/>
      <c r="S518" s="18"/>
      <c r="T518" s="18"/>
      <c r="U518" s="18"/>
      <c r="V518" s="18"/>
      <c r="W518" s="18"/>
      <c r="X518" s="18"/>
      <c r="Y518" s="18"/>
      <c r="Z518" s="18"/>
      <c r="AA518" s="18"/>
      <c r="AB518" s="18"/>
    </row>
    <row r="519" spans="1:28" ht="12.5" customHeight="1">
      <c r="A519" s="19">
        <v>518</v>
      </c>
      <c r="B519" s="30" t="s">
        <v>2486</v>
      </c>
      <c r="C519" s="30" t="s">
        <v>2460</v>
      </c>
      <c r="D519" s="4" t="s">
        <v>2487</v>
      </c>
      <c r="E519" s="30" t="s">
        <v>2488</v>
      </c>
      <c r="F519" s="30" t="s">
        <v>2489</v>
      </c>
      <c r="G519" s="30">
        <v>2019</v>
      </c>
      <c r="H519" s="30" t="s">
        <v>2490</v>
      </c>
      <c r="I519" s="30" t="str">
        <f t="shared" si="4"/>
        <v>Recent</v>
      </c>
      <c r="J519" s="30" t="str">
        <f t="shared" si="5"/>
        <v>Yes</v>
      </c>
      <c r="K519" s="30"/>
      <c r="L519" s="30"/>
      <c r="M519" s="18"/>
      <c r="N519" s="18"/>
      <c r="O519" s="18"/>
      <c r="P519" s="18"/>
      <c r="Q519" s="18"/>
      <c r="R519" s="18"/>
      <c r="S519" s="18"/>
      <c r="T519" s="18"/>
      <c r="U519" s="18"/>
      <c r="V519" s="18"/>
      <c r="W519" s="18"/>
      <c r="X519" s="18"/>
      <c r="Y519" s="18"/>
      <c r="Z519" s="18"/>
      <c r="AA519" s="18"/>
      <c r="AB519" s="18"/>
    </row>
    <row r="520" spans="1:28" ht="12.5" customHeight="1">
      <c r="A520" s="19">
        <v>519</v>
      </c>
      <c r="B520" s="30" t="s">
        <v>2491</v>
      </c>
      <c r="C520" s="30" t="s">
        <v>2460</v>
      </c>
      <c r="D520" s="4" t="s">
        <v>2492</v>
      </c>
      <c r="E520" s="30" t="s">
        <v>2493</v>
      </c>
      <c r="F520" s="30" t="s">
        <v>2494</v>
      </c>
      <c r="G520" s="30">
        <v>2004</v>
      </c>
      <c r="H520" s="30" t="s">
        <v>2495</v>
      </c>
      <c r="I520" s="30" t="str">
        <f t="shared" si="4"/>
        <v>Early</v>
      </c>
      <c r="J520" s="30" t="str">
        <f t="shared" si="5"/>
        <v>Yes</v>
      </c>
      <c r="K520" s="30"/>
      <c r="L520" s="30"/>
      <c r="M520" s="18"/>
      <c r="N520" s="18"/>
      <c r="O520" s="18"/>
      <c r="P520" s="18"/>
      <c r="Q520" s="18"/>
      <c r="R520" s="18"/>
      <c r="S520" s="18"/>
      <c r="T520" s="18"/>
      <c r="U520" s="18"/>
      <c r="V520" s="18"/>
      <c r="W520" s="18"/>
      <c r="X520" s="18"/>
      <c r="Y520" s="18"/>
      <c r="Z520" s="18"/>
      <c r="AA520" s="18"/>
      <c r="AB520" s="18"/>
    </row>
    <row r="521" spans="1:28" ht="12.5" customHeight="1">
      <c r="A521" s="19">
        <v>520</v>
      </c>
      <c r="B521" s="30" t="s">
        <v>2496</v>
      </c>
      <c r="C521" s="30" t="s">
        <v>2460</v>
      </c>
      <c r="D521" s="4" t="s">
        <v>2497</v>
      </c>
      <c r="E521" s="30" t="s">
        <v>2498</v>
      </c>
      <c r="F521" s="30" t="s">
        <v>2499</v>
      </c>
      <c r="G521" s="30">
        <v>2009</v>
      </c>
      <c r="H521" s="30" t="s">
        <v>2490</v>
      </c>
      <c r="I521" s="30" t="str">
        <f t="shared" si="4"/>
        <v>Early</v>
      </c>
      <c r="J521" s="30" t="str">
        <f t="shared" si="5"/>
        <v>Yes</v>
      </c>
      <c r="K521" s="30"/>
      <c r="L521" s="30"/>
      <c r="M521" s="18"/>
      <c r="N521" s="18"/>
      <c r="O521" s="18"/>
      <c r="P521" s="18"/>
      <c r="Q521" s="18"/>
      <c r="R521" s="18"/>
      <c r="S521" s="18"/>
      <c r="T521" s="18"/>
      <c r="U521" s="18"/>
      <c r="V521" s="18"/>
      <c r="W521" s="18"/>
      <c r="X521" s="18"/>
      <c r="Y521" s="18"/>
      <c r="Z521" s="18"/>
      <c r="AA521" s="18"/>
      <c r="AB521" s="18"/>
    </row>
    <row r="522" spans="1:28" ht="12.5" customHeight="1">
      <c r="A522" s="18">
        <v>521</v>
      </c>
      <c r="B522" s="18" t="s">
        <v>2500</v>
      </c>
      <c r="C522" s="18" t="s">
        <v>2460</v>
      </c>
      <c r="D522" s="18" t="s">
        <v>2501</v>
      </c>
      <c r="E522" s="18" t="s">
        <v>2502</v>
      </c>
      <c r="F522" s="18" t="s">
        <v>2503</v>
      </c>
      <c r="G522" s="18">
        <v>1999</v>
      </c>
      <c r="H522" s="18" t="s">
        <v>2504</v>
      </c>
      <c r="I522" s="18" t="str">
        <f t="shared" si="4"/>
        <v>Early</v>
      </c>
      <c r="J522" s="18" t="str">
        <f t="shared" si="5"/>
        <v>Yes</v>
      </c>
      <c r="K522" s="18"/>
      <c r="L522" s="18"/>
      <c r="M522" s="18"/>
      <c r="N522" s="18"/>
      <c r="O522" s="18"/>
      <c r="P522" s="18"/>
      <c r="Q522" s="18"/>
      <c r="R522" s="18"/>
      <c r="S522" s="18"/>
      <c r="T522" s="18"/>
      <c r="U522" s="18"/>
      <c r="V522" s="18"/>
      <c r="W522" s="18"/>
      <c r="X522" s="18"/>
      <c r="Y522" s="18"/>
      <c r="Z522" s="18"/>
      <c r="AA522" s="18"/>
      <c r="AB522" s="18"/>
    </row>
    <row r="523" spans="1:28" ht="12.5" customHeight="1">
      <c r="A523" s="23">
        <v>522</v>
      </c>
      <c r="B523" s="23" t="s">
        <v>2505</v>
      </c>
      <c r="C523" s="23" t="s">
        <v>2460</v>
      </c>
      <c r="D523" s="23"/>
      <c r="E523" s="23" t="s">
        <v>2506</v>
      </c>
      <c r="F523" s="23" t="s">
        <v>2507</v>
      </c>
      <c r="G523" s="23">
        <v>2000</v>
      </c>
      <c r="H523" s="23" t="s">
        <v>2508</v>
      </c>
      <c r="I523" s="23" t="str">
        <f t="shared" si="4"/>
        <v>Early</v>
      </c>
      <c r="J523" s="23" t="str">
        <f t="shared" si="5"/>
        <v>No</v>
      </c>
      <c r="K523" s="23"/>
      <c r="L523" s="23"/>
      <c r="M523" s="23"/>
      <c r="N523" s="23"/>
      <c r="O523" s="23"/>
      <c r="P523" s="23"/>
      <c r="Q523" s="23"/>
      <c r="R523" s="23"/>
      <c r="S523" s="23"/>
      <c r="T523" s="23"/>
      <c r="U523" s="23"/>
      <c r="V523" s="23"/>
      <c r="W523" s="23"/>
      <c r="X523" s="23"/>
      <c r="Y523" s="23"/>
      <c r="Z523" s="23"/>
      <c r="AA523" s="23"/>
      <c r="AB523" s="23"/>
    </row>
    <row r="524" spans="1:28" ht="15.5" customHeight="1">
      <c r="A524" s="19">
        <v>523</v>
      </c>
      <c r="B524" s="30" t="s">
        <v>2509</v>
      </c>
      <c r="C524" s="30" t="s">
        <v>2460</v>
      </c>
      <c r="D524" s="32" t="s">
        <v>2510</v>
      </c>
      <c r="E524" s="30" t="s">
        <v>2511</v>
      </c>
      <c r="F524" s="30" t="s">
        <v>2512</v>
      </c>
      <c r="G524" s="30">
        <v>2018</v>
      </c>
      <c r="H524" s="30" t="s">
        <v>2513</v>
      </c>
      <c r="I524" s="30" t="str">
        <f t="shared" si="4"/>
        <v>Recent</v>
      </c>
      <c r="J524" s="30" t="str">
        <f t="shared" si="5"/>
        <v>Yes</v>
      </c>
      <c r="K524" s="30"/>
      <c r="L524" s="30"/>
      <c r="M524" s="18"/>
      <c r="N524" s="18"/>
      <c r="O524" s="18"/>
      <c r="P524" s="18"/>
      <c r="Q524" s="18"/>
      <c r="R524" s="18"/>
      <c r="S524" s="18"/>
      <c r="T524" s="18"/>
      <c r="U524" s="18"/>
      <c r="V524" s="18"/>
      <c r="W524" s="18"/>
      <c r="X524" s="18"/>
      <c r="Y524" s="18"/>
      <c r="Z524" s="18"/>
      <c r="AA524" s="18"/>
      <c r="AB524" s="18"/>
    </row>
    <row r="525" spans="1:28" ht="12.5" customHeight="1">
      <c r="A525" s="19">
        <v>524</v>
      </c>
      <c r="B525" s="30" t="s">
        <v>2514</v>
      </c>
      <c r="C525" s="30" t="s">
        <v>2460</v>
      </c>
      <c r="D525" s="4" t="s">
        <v>2515</v>
      </c>
      <c r="E525" s="30" t="s">
        <v>2516</v>
      </c>
      <c r="F525" s="30" t="s">
        <v>2517</v>
      </c>
      <c r="G525" s="30">
        <v>2000</v>
      </c>
      <c r="H525" s="30" t="s">
        <v>2518</v>
      </c>
      <c r="I525" s="30" t="str">
        <f t="shared" si="4"/>
        <v>Early</v>
      </c>
      <c r="J525" s="30" t="str">
        <f t="shared" si="5"/>
        <v>Yes</v>
      </c>
      <c r="K525" s="30"/>
      <c r="L525" s="30"/>
      <c r="M525" s="18"/>
      <c r="N525" s="18"/>
      <c r="O525" s="18"/>
      <c r="P525" s="18"/>
      <c r="Q525" s="18"/>
      <c r="R525" s="18"/>
      <c r="S525" s="18"/>
      <c r="T525" s="18"/>
      <c r="U525" s="18"/>
      <c r="V525" s="18"/>
      <c r="W525" s="18"/>
      <c r="X525" s="18"/>
      <c r="Y525" s="18"/>
      <c r="Z525" s="18"/>
      <c r="AA525" s="18"/>
      <c r="AB525" s="18"/>
    </row>
    <row r="526" spans="1:28" ht="12.5" customHeight="1">
      <c r="A526" s="19">
        <v>525</v>
      </c>
      <c r="B526" s="30" t="s">
        <v>2519</v>
      </c>
      <c r="C526" s="30" t="s">
        <v>2460</v>
      </c>
      <c r="D526" s="4" t="s">
        <v>2520</v>
      </c>
      <c r="E526" s="30" t="s">
        <v>2521</v>
      </c>
      <c r="F526" s="30" t="s">
        <v>416</v>
      </c>
      <c r="G526" s="30">
        <v>2015</v>
      </c>
      <c r="H526" s="30" t="s">
        <v>2522</v>
      </c>
      <c r="I526" s="30" t="str">
        <f t="shared" si="4"/>
        <v>Middle</v>
      </c>
      <c r="J526" s="30" t="str">
        <f t="shared" si="5"/>
        <v>Yes</v>
      </c>
      <c r="K526" s="30"/>
      <c r="L526" s="30"/>
      <c r="M526" s="18"/>
      <c r="N526" s="18"/>
      <c r="O526" s="18"/>
      <c r="P526" s="18"/>
      <c r="Q526" s="18"/>
      <c r="R526" s="18"/>
      <c r="S526" s="18"/>
      <c r="T526" s="18"/>
      <c r="U526" s="18"/>
      <c r="V526" s="18"/>
      <c r="W526" s="18"/>
      <c r="X526" s="18"/>
      <c r="Y526" s="18"/>
      <c r="Z526" s="18"/>
      <c r="AA526" s="18"/>
      <c r="AB526" s="18"/>
    </row>
    <row r="527" spans="1:28" ht="12.5" customHeight="1">
      <c r="A527" s="19">
        <v>526</v>
      </c>
      <c r="B527" s="30" t="s">
        <v>2523</v>
      </c>
      <c r="C527" s="30" t="s">
        <v>2460</v>
      </c>
      <c r="D527" s="31" t="s">
        <v>2524</v>
      </c>
      <c r="E527" s="30" t="s">
        <v>2525</v>
      </c>
      <c r="F527" s="30" t="s">
        <v>2526</v>
      </c>
      <c r="G527" s="30">
        <v>2008</v>
      </c>
      <c r="H527" s="30" t="s">
        <v>2490</v>
      </c>
      <c r="I527" s="30" t="str">
        <f t="shared" si="4"/>
        <v>Early</v>
      </c>
      <c r="J527" s="30" t="str">
        <f t="shared" si="5"/>
        <v>Yes</v>
      </c>
      <c r="K527" s="30"/>
      <c r="L527" s="30"/>
      <c r="M527" s="18"/>
      <c r="N527" s="18"/>
      <c r="O527" s="18"/>
      <c r="P527" s="18"/>
      <c r="Q527" s="18"/>
      <c r="R527" s="18"/>
      <c r="S527" s="18"/>
      <c r="T527" s="18"/>
      <c r="U527" s="18"/>
      <c r="V527" s="18"/>
      <c r="W527" s="18"/>
      <c r="X527" s="18"/>
      <c r="Y527" s="18"/>
      <c r="Z527" s="18"/>
      <c r="AA527" s="18"/>
      <c r="AB527" s="18"/>
    </row>
    <row r="528" spans="1:28" ht="12.5" customHeight="1">
      <c r="A528" s="19">
        <v>527</v>
      </c>
      <c r="B528" s="30" t="s">
        <v>2527</v>
      </c>
      <c r="C528" s="30" t="s">
        <v>2460</v>
      </c>
      <c r="D528" s="31" t="s">
        <v>2528</v>
      </c>
      <c r="E528" s="30" t="s">
        <v>2529</v>
      </c>
      <c r="F528" s="30" t="s">
        <v>2530</v>
      </c>
      <c r="G528" s="30">
        <v>2004</v>
      </c>
      <c r="H528" s="30" t="s">
        <v>2490</v>
      </c>
      <c r="I528" s="30" t="str">
        <f t="shared" si="4"/>
        <v>Early</v>
      </c>
      <c r="J528" s="30" t="str">
        <f t="shared" si="5"/>
        <v>Yes</v>
      </c>
      <c r="K528" s="30"/>
      <c r="L528" s="30"/>
      <c r="M528" s="18"/>
      <c r="N528" s="18"/>
      <c r="O528" s="18"/>
      <c r="P528" s="18"/>
      <c r="Q528" s="18"/>
      <c r="R528" s="18"/>
      <c r="S528" s="18"/>
      <c r="T528" s="18"/>
      <c r="U528" s="18"/>
      <c r="V528" s="18"/>
      <c r="W528" s="18"/>
      <c r="X528" s="18"/>
      <c r="Y528" s="18"/>
      <c r="Z528" s="18"/>
      <c r="AA528" s="18"/>
      <c r="AB528" s="18"/>
    </row>
    <row r="529" spans="1:28" ht="12.5" customHeight="1">
      <c r="A529" s="19">
        <v>528</v>
      </c>
      <c r="B529" s="30" t="s">
        <v>2531</v>
      </c>
      <c r="C529" s="30" t="s">
        <v>2460</v>
      </c>
      <c r="D529" s="31" t="s">
        <v>2532</v>
      </c>
      <c r="E529" s="30" t="s">
        <v>2533</v>
      </c>
      <c r="F529" s="30" t="s">
        <v>2534</v>
      </c>
      <c r="G529" s="30">
        <v>2006</v>
      </c>
      <c r="H529" s="30" t="s">
        <v>2535</v>
      </c>
      <c r="I529" s="30" t="str">
        <f t="shared" si="4"/>
        <v>Early</v>
      </c>
      <c r="J529" s="30" t="str">
        <f t="shared" si="5"/>
        <v>Yes</v>
      </c>
      <c r="K529" s="30"/>
      <c r="L529" s="30"/>
      <c r="M529" s="18"/>
      <c r="N529" s="18"/>
      <c r="O529" s="18"/>
      <c r="P529" s="18"/>
      <c r="Q529" s="18"/>
      <c r="R529" s="18"/>
      <c r="S529" s="18"/>
      <c r="T529" s="18"/>
      <c r="U529" s="18"/>
      <c r="V529" s="18"/>
      <c r="W529" s="18"/>
      <c r="X529" s="18"/>
      <c r="Y529" s="18"/>
      <c r="Z529" s="18"/>
      <c r="AA529" s="18"/>
      <c r="AB529" s="18"/>
    </row>
    <row r="530" spans="1:28" ht="12.5" customHeight="1">
      <c r="A530" s="19">
        <v>529</v>
      </c>
      <c r="B530" s="30" t="s">
        <v>2536</v>
      </c>
      <c r="C530" s="30" t="s">
        <v>2460</v>
      </c>
      <c r="D530" s="31" t="s">
        <v>2537</v>
      </c>
      <c r="E530" s="30" t="s">
        <v>2538</v>
      </c>
      <c r="F530" s="30" t="s">
        <v>2539</v>
      </c>
      <c r="G530" s="30">
        <v>2004</v>
      </c>
      <c r="H530" s="30" t="s">
        <v>2490</v>
      </c>
      <c r="I530" s="30" t="str">
        <f t="shared" si="4"/>
        <v>Early</v>
      </c>
      <c r="J530" s="30" t="str">
        <f t="shared" si="5"/>
        <v>Yes</v>
      </c>
      <c r="K530" s="30"/>
      <c r="L530" s="30"/>
      <c r="M530" s="18"/>
      <c r="N530" s="18"/>
      <c r="O530" s="18"/>
      <c r="P530" s="18"/>
      <c r="Q530" s="18"/>
      <c r="R530" s="18"/>
      <c r="S530" s="18"/>
      <c r="T530" s="18"/>
      <c r="U530" s="18"/>
      <c r="V530" s="18"/>
      <c r="W530" s="18"/>
      <c r="X530" s="18"/>
      <c r="Y530" s="18"/>
      <c r="Z530" s="18"/>
      <c r="AA530" s="18"/>
      <c r="AB530" s="18"/>
    </row>
    <row r="531" spans="1:28" ht="12.5" customHeight="1">
      <c r="A531" s="19">
        <v>530</v>
      </c>
      <c r="B531" s="30" t="s">
        <v>2540</v>
      </c>
      <c r="C531" s="30" t="s">
        <v>2460</v>
      </c>
      <c r="D531" s="31" t="s">
        <v>2541</v>
      </c>
      <c r="E531" s="30" t="s">
        <v>2542</v>
      </c>
      <c r="F531" s="30" t="s">
        <v>2543</v>
      </c>
      <c r="G531" s="30">
        <v>2016</v>
      </c>
      <c r="H531" s="30" t="s">
        <v>2490</v>
      </c>
      <c r="I531" s="30" t="str">
        <f t="shared" si="4"/>
        <v>Middle</v>
      </c>
      <c r="J531" s="30" t="str">
        <f t="shared" si="5"/>
        <v>Yes</v>
      </c>
      <c r="K531" s="30"/>
      <c r="L531" s="30"/>
      <c r="M531" s="18"/>
      <c r="N531" s="18"/>
      <c r="O531" s="18"/>
      <c r="P531" s="18"/>
      <c r="Q531" s="18"/>
      <c r="R531" s="18"/>
      <c r="S531" s="18"/>
      <c r="T531" s="18"/>
      <c r="U531" s="18"/>
      <c r="V531" s="18"/>
      <c r="W531" s="18"/>
      <c r="X531" s="18"/>
      <c r="Y531" s="18"/>
      <c r="Z531" s="18"/>
      <c r="AA531" s="18"/>
      <c r="AB531" s="18"/>
    </row>
    <row r="532" spans="1:28" ht="12.5" customHeight="1">
      <c r="A532" s="19">
        <v>531</v>
      </c>
      <c r="B532" s="30" t="s">
        <v>2544</v>
      </c>
      <c r="C532" s="30" t="s">
        <v>2460</v>
      </c>
      <c r="D532" s="31" t="s">
        <v>2545</v>
      </c>
      <c r="E532" s="30" t="s">
        <v>2546</v>
      </c>
      <c r="F532" s="30" t="s">
        <v>2547</v>
      </c>
      <c r="G532" s="30">
        <v>2011</v>
      </c>
      <c r="H532" s="30" t="s">
        <v>2548</v>
      </c>
      <c r="I532" s="30" t="str">
        <f t="shared" si="4"/>
        <v>Middle</v>
      </c>
      <c r="J532" s="30" t="str">
        <f t="shared" si="5"/>
        <v>Yes</v>
      </c>
      <c r="K532" s="30"/>
      <c r="L532" s="30"/>
      <c r="M532" s="18"/>
      <c r="N532" s="18"/>
      <c r="O532" s="18"/>
      <c r="P532" s="18"/>
      <c r="Q532" s="18"/>
      <c r="R532" s="18"/>
      <c r="S532" s="18"/>
      <c r="T532" s="18"/>
      <c r="U532" s="18"/>
      <c r="V532" s="18"/>
      <c r="W532" s="18"/>
      <c r="X532" s="18"/>
      <c r="Y532" s="18"/>
      <c r="Z532" s="18"/>
      <c r="AA532" s="18"/>
      <c r="AB532" s="18"/>
    </row>
    <row r="533" spans="1:28" ht="12.5" customHeight="1">
      <c r="A533" s="19">
        <v>532</v>
      </c>
      <c r="B533" s="30" t="s">
        <v>2549</v>
      </c>
      <c r="C533" s="30" t="s">
        <v>2460</v>
      </c>
      <c r="D533" s="31" t="s">
        <v>2550</v>
      </c>
      <c r="E533" s="30" t="s">
        <v>2551</v>
      </c>
      <c r="F533" s="30" t="s">
        <v>2552</v>
      </c>
      <c r="G533" s="30">
        <v>2011</v>
      </c>
      <c r="H533" s="30" t="s">
        <v>2490</v>
      </c>
      <c r="I533" s="30" t="str">
        <f t="shared" si="4"/>
        <v>Middle</v>
      </c>
      <c r="J533" s="30" t="str">
        <f t="shared" si="5"/>
        <v>Yes</v>
      </c>
      <c r="K533" s="30"/>
      <c r="L533" s="30"/>
      <c r="M533" s="18"/>
      <c r="N533" s="18"/>
      <c r="O533" s="18"/>
      <c r="P533" s="18"/>
      <c r="Q533" s="18"/>
      <c r="R533" s="18"/>
      <c r="S533" s="18"/>
      <c r="T533" s="18"/>
      <c r="U533" s="18"/>
      <c r="V533" s="18"/>
      <c r="W533" s="18"/>
      <c r="X533" s="18"/>
      <c r="Y533" s="18"/>
      <c r="Z533" s="18"/>
      <c r="AA533" s="18"/>
      <c r="AB533" s="18"/>
    </row>
    <row r="534" spans="1:28" ht="12.5" customHeight="1">
      <c r="A534" s="19">
        <v>533</v>
      </c>
      <c r="B534" s="30" t="s">
        <v>2553</v>
      </c>
      <c r="C534" s="30" t="s">
        <v>2460</v>
      </c>
      <c r="D534" s="31" t="s">
        <v>2554</v>
      </c>
      <c r="E534" s="30" t="s">
        <v>2555</v>
      </c>
      <c r="F534" s="30" t="s">
        <v>2552</v>
      </c>
      <c r="G534" s="30">
        <v>2016</v>
      </c>
      <c r="H534" s="30" t="s">
        <v>2490</v>
      </c>
      <c r="I534" s="30" t="str">
        <f t="shared" si="4"/>
        <v>Middle</v>
      </c>
      <c r="J534" s="30" t="str">
        <f t="shared" si="5"/>
        <v>Yes</v>
      </c>
      <c r="K534" s="30"/>
      <c r="L534" s="30"/>
      <c r="M534" s="18"/>
      <c r="N534" s="18"/>
      <c r="O534" s="18"/>
      <c r="P534" s="18"/>
      <c r="Q534" s="18"/>
      <c r="R534" s="18"/>
      <c r="S534" s="18"/>
      <c r="T534" s="18"/>
      <c r="U534" s="18"/>
      <c r="V534" s="18"/>
      <c r="W534" s="18"/>
      <c r="X534" s="18"/>
      <c r="Y534" s="18"/>
      <c r="Z534" s="18"/>
      <c r="AA534" s="18"/>
      <c r="AB534" s="18"/>
    </row>
    <row r="535" spans="1:28" ht="12.5" customHeight="1">
      <c r="A535" s="19">
        <v>534</v>
      </c>
      <c r="B535" s="30" t="s">
        <v>2556</v>
      </c>
      <c r="C535" s="30" t="s">
        <v>2460</v>
      </c>
      <c r="D535" s="31" t="s">
        <v>2557</v>
      </c>
      <c r="E535" s="30" t="s">
        <v>2558</v>
      </c>
      <c r="F535" s="30" t="s">
        <v>2559</v>
      </c>
      <c r="G535" s="30">
        <v>2005</v>
      </c>
      <c r="H535" s="30" t="s">
        <v>2472</v>
      </c>
      <c r="I535" s="30" t="str">
        <f t="shared" si="4"/>
        <v>Early</v>
      </c>
      <c r="J535" s="30" t="str">
        <f t="shared" si="5"/>
        <v>Yes</v>
      </c>
      <c r="K535" s="30"/>
      <c r="L535" s="30"/>
      <c r="M535" s="18"/>
      <c r="N535" s="18"/>
      <c r="O535" s="18"/>
      <c r="P535" s="18"/>
      <c r="Q535" s="18"/>
      <c r="R535" s="18"/>
      <c r="S535" s="18"/>
      <c r="T535" s="18"/>
      <c r="U535" s="18"/>
      <c r="V535" s="18"/>
      <c r="W535" s="18"/>
      <c r="X535" s="18"/>
      <c r="Y535" s="18"/>
      <c r="Z535" s="18"/>
      <c r="AA535" s="18"/>
      <c r="AB535" s="18"/>
    </row>
    <row r="536" spans="1:28" ht="12.5" customHeight="1">
      <c r="A536" s="19">
        <v>535</v>
      </c>
      <c r="B536" s="30" t="s">
        <v>2560</v>
      </c>
      <c r="C536" s="30" t="s">
        <v>2460</v>
      </c>
      <c r="D536" s="31" t="s">
        <v>2561</v>
      </c>
      <c r="E536" s="30" t="s">
        <v>2562</v>
      </c>
      <c r="F536" s="30" t="s">
        <v>2563</v>
      </c>
      <c r="G536" s="30">
        <v>2019</v>
      </c>
      <c r="H536" s="30" t="s">
        <v>2490</v>
      </c>
      <c r="I536" s="30" t="str">
        <f t="shared" si="4"/>
        <v>Recent</v>
      </c>
      <c r="J536" s="30" t="str">
        <f t="shared" si="5"/>
        <v>Yes</v>
      </c>
      <c r="K536" s="30"/>
      <c r="L536" s="30"/>
      <c r="M536" s="18"/>
      <c r="N536" s="18"/>
      <c r="O536" s="18"/>
      <c r="P536" s="18"/>
      <c r="Q536" s="18"/>
      <c r="R536" s="18"/>
      <c r="S536" s="18"/>
      <c r="T536" s="18"/>
      <c r="U536" s="18"/>
      <c r="V536" s="18"/>
      <c r="W536" s="18"/>
      <c r="X536" s="18"/>
      <c r="Y536" s="18"/>
      <c r="Z536" s="18"/>
      <c r="AA536" s="18"/>
      <c r="AB536" s="18"/>
    </row>
    <row r="537" spans="1:28" ht="12.5" customHeight="1">
      <c r="A537" s="19">
        <v>536</v>
      </c>
      <c r="B537" s="30" t="s">
        <v>2564</v>
      </c>
      <c r="C537" s="30" t="s">
        <v>2460</v>
      </c>
      <c r="D537" s="31" t="s">
        <v>2565</v>
      </c>
      <c r="E537" s="30" t="s">
        <v>2566</v>
      </c>
      <c r="F537" s="30" t="s">
        <v>2567</v>
      </c>
      <c r="G537" s="30">
        <v>2005</v>
      </c>
      <c r="H537" s="30" t="s">
        <v>2472</v>
      </c>
      <c r="I537" s="30" t="str">
        <f t="shared" si="4"/>
        <v>Early</v>
      </c>
      <c r="J537" s="30" t="str">
        <f t="shared" si="5"/>
        <v>Yes</v>
      </c>
      <c r="K537" s="30"/>
      <c r="L537" s="30"/>
      <c r="M537" s="18"/>
      <c r="N537" s="18"/>
      <c r="O537" s="18"/>
      <c r="P537" s="18"/>
      <c r="Q537" s="18"/>
      <c r="R537" s="18"/>
      <c r="S537" s="18"/>
      <c r="T537" s="18"/>
      <c r="U537" s="18"/>
      <c r="V537" s="18"/>
      <c r="W537" s="18"/>
      <c r="X537" s="18"/>
      <c r="Y537" s="18"/>
      <c r="Z537" s="18"/>
      <c r="AA537" s="18"/>
      <c r="AB537" s="18"/>
    </row>
    <row r="538" spans="1:28" ht="12.5" customHeight="1">
      <c r="A538" s="19">
        <v>537</v>
      </c>
      <c r="B538" s="30" t="s">
        <v>2568</v>
      </c>
      <c r="C538" s="30" t="s">
        <v>2460</v>
      </c>
      <c r="D538" s="31" t="s">
        <v>2569</v>
      </c>
      <c r="E538" s="30" t="s">
        <v>2570</v>
      </c>
      <c r="F538" s="30" t="s">
        <v>2571</v>
      </c>
      <c r="G538" s="30">
        <v>2004</v>
      </c>
      <c r="H538" s="30" t="s">
        <v>2472</v>
      </c>
      <c r="I538" s="30" t="str">
        <f t="shared" si="4"/>
        <v>Early</v>
      </c>
      <c r="J538" s="30" t="str">
        <f t="shared" si="5"/>
        <v>Yes</v>
      </c>
      <c r="K538" s="30"/>
      <c r="L538" s="30"/>
      <c r="M538" s="18"/>
      <c r="N538" s="18"/>
      <c r="O538" s="18"/>
      <c r="P538" s="18"/>
      <c r="Q538" s="18"/>
      <c r="R538" s="18"/>
      <c r="S538" s="18"/>
      <c r="T538" s="18"/>
      <c r="U538" s="18"/>
      <c r="V538" s="18"/>
      <c r="W538" s="18"/>
      <c r="X538" s="18"/>
      <c r="Y538" s="18"/>
      <c r="Z538" s="18"/>
      <c r="AA538" s="18"/>
      <c r="AB538" s="18"/>
    </row>
    <row r="539" spans="1:28" ht="12.5" customHeight="1">
      <c r="A539" s="18">
        <v>538</v>
      </c>
      <c r="B539" s="18" t="s">
        <v>2572</v>
      </c>
      <c r="C539" s="18" t="s">
        <v>2460</v>
      </c>
      <c r="D539" s="18" t="s">
        <v>2573</v>
      </c>
      <c r="E539" s="18" t="s">
        <v>2574</v>
      </c>
      <c r="F539" s="18" t="s">
        <v>2575</v>
      </c>
      <c r="G539" s="18">
        <v>1983</v>
      </c>
      <c r="H539" s="18" t="s">
        <v>2576</v>
      </c>
      <c r="I539" s="18" t="str">
        <f t="shared" si="4"/>
        <v>Early</v>
      </c>
      <c r="J539" s="18" t="str">
        <f t="shared" si="5"/>
        <v>Yes</v>
      </c>
      <c r="K539" s="18"/>
      <c r="L539" s="18"/>
      <c r="M539" s="18"/>
      <c r="N539" s="18"/>
      <c r="O539" s="18"/>
      <c r="P539" s="18"/>
      <c r="Q539" s="18"/>
      <c r="R539" s="18"/>
      <c r="S539" s="18"/>
      <c r="T539" s="18"/>
      <c r="U539" s="18"/>
      <c r="V539" s="18"/>
      <c r="W539" s="18"/>
      <c r="X539" s="18"/>
      <c r="Y539" s="18"/>
      <c r="Z539" s="18"/>
      <c r="AA539" s="18"/>
      <c r="AB539" s="18"/>
    </row>
    <row r="540" spans="1:28" ht="12.5" customHeight="1">
      <c r="A540" s="19">
        <v>539</v>
      </c>
      <c r="B540" s="30" t="s">
        <v>2577</v>
      </c>
      <c r="C540" s="30" t="s">
        <v>2460</v>
      </c>
      <c r="D540" s="31" t="s">
        <v>2578</v>
      </c>
      <c r="E540" s="30" t="s">
        <v>2579</v>
      </c>
      <c r="F540" s="30" t="s">
        <v>2580</v>
      </c>
      <c r="G540" s="30">
        <v>2013</v>
      </c>
      <c r="H540" s="30" t="s">
        <v>2581</v>
      </c>
      <c r="I540" s="30" t="str">
        <f t="shared" si="4"/>
        <v>Middle</v>
      </c>
      <c r="J540" s="30" t="str">
        <f t="shared" si="5"/>
        <v>Yes</v>
      </c>
      <c r="K540" s="30"/>
      <c r="L540" s="30"/>
      <c r="M540" s="18"/>
      <c r="N540" s="18"/>
      <c r="O540" s="18"/>
      <c r="P540" s="18"/>
      <c r="Q540" s="18"/>
      <c r="R540" s="18"/>
      <c r="S540" s="18"/>
      <c r="T540" s="18"/>
      <c r="U540" s="18"/>
      <c r="V540" s="18"/>
      <c r="W540" s="18"/>
      <c r="X540" s="18"/>
      <c r="Y540" s="18"/>
      <c r="Z540" s="18"/>
      <c r="AA540" s="18"/>
      <c r="AB540" s="18"/>
    </row>
    <row r="541" spans="1:28" ht="12.5" customHeight="1">
      <c r="A541" s="19">
        <v>540</v>
      </c>
      <c r="B541" s="30" t="s">
        <v>2582</v>
      </c>
      <c r="C541" s="30" t="s">
        <v>2460</v>
      </c>
      <c r="D541" s="31" t="s">
        <v>2583</v>
      </c>
      <c r="E541" s="30" t="s">
        <v>2584</v>
      </c>
      <c r="F541" s="30" t="s">
        <v>2585</v>
      </c>
      <c r="G541" s="30">
        <v>2003</v>
      </c>
      <c r="H541" s="30" t="s">
        <v>2586</v>
      </c>
      <c r="I541" s="30" t="str">
        <f t="shared" si="4"/>
        <v>Early</v>
      </c>
      <c r="J541" s="30" t="str">
        <f t="shared" si="5"/>
        <v>Yes</v>
      </c>
      <c r="K541" s="30"/>
      <c r="L541" s="30"/>
      <c r="M541" s="18"/>
      <c r="N541" s="18"/>
      <c r="O541" s="18"/>
      <c r="P541" s="18"/>
      <c r="Q541" s="18"/>
      <c r="R541" s="18"/>
      <c r="S541" s="18"/>
      <c r="T541" s="18"/>
      <c r="U541" s="18"/>
      <c r="V541" s="18"/>
      <c r="W541" s="18"/>
      <c r="X541" s="18"/>
      <c r="Y541" s="18"/>
      <c r="Z541" s="18"/>
      <c r="AA541" s="18"/>
      <c r="AB541" s="18"/>
    </row>
    <row r="542" spans="1:28" ht="12.5" customHeight="1">
      <c r="A542" s="19">
        <v>541</v>
      </c>
      <c r="B542" s="30" t="s">
        <v>2587</v>
      </c>
      <c r="C542" s="30" t="s">
        <v>2460</v>
      </c>
      <c r="D542" s="31" t="s">
        <v>2588</v>
      </c>
      <c r="E542" s="30" t="s">
        <v>2589</v>
      </c>
      <c r="F542" s="30" t="s">
        <v>2590</v>
      </c>
      <c r="G542" s="30">
        <v>2009</v>
      </c>
      <c r="H542" s="30" t="s">
        <v>2591</v>
      </c>
      <c r="I542" s="30" t="str">
        <f t="shared" si="4"/>
        <v>Early</v>
      </c>
      <c r="J542" s="30" t="str">
        <f t="shared" si="5"/>
        <v>Yes</v>
      </c>
      <c r="K542" s="30"/>
      <c r="L542" s="30"/>
      <c r="M542" s="18"/>
      <c r="N542" s="18"/>
      <c r="O542" s="18"/>
      <c r="P542" s="18"/>
      <c r="Q542" s="18"/>
      <c r="R542" s="18"/>
      <c r="S542" s="18"/>
      <c r="T542" s="18"/>
      <c r="U542" s="18"/>
      <c r="V542" s="18"/>
      <c r="W542" s="18"/>
      <c r="X542" s="18"/>
      <c r="Y542" s="18"/>
      <c r="Z542" s="18"/>
      <c r="AA542" s="18"/>
      <c r="AB542" s="18"/>
    </row>
    <row r="543" spans="1:28" ht="12.5" customHeight="1">
      <c r="A543" s="19">
        <v>542</v>
      </c>
      <c r="B543" s="30" t="s">
        <v>2592</v>
      </c>
      <c r="C543" s="30" t="s">
        <v>2460</v>
      </c>
      <c r="D543" s="31" t="s">
        <v>2593</v>
      </c>
      <c r="E543" s="30" t="s">
        <v>2594</v>
      </c>
      <c r="F543" s="30" t="s">
        <v>2595</v>
      </c>
      <c r="G543" s="30">
        <v>2006</v>
      </c>
      <c r="H543" s="30" t="s">
        <v>2596</v>
      </c>
      <c r="I543" s="30" t="str">
        <f t="shared" si="4"/>
        <v>Early</v>
      </c>
      <c r="J543" s="30" t="str">
        <f t="shared" si="5"/>
        <v>Yes</v>
      </c>
      <c r="K543" s="30"/>
      <c r="L543" s="30"/>
      <c r="M543" s="18"/>
      <c r="N543" s="18"/>
      <c r="O543" s="18"/>
      <c r="P543" s="18"/>
      <c r="Q543" s="18"/>
      <c r="R543" s="18"/>
      <c r="S543" s="18"/>
      <c r="T543" s="18"/>
      <c r="U543" s="18"/>
      <c r="V543" s="18"/>
      <c r="W543" s="18"/>
      <c r="X543" s="18"/>
      <c r="Y543" s="18"/>
      <c r="Z543" s="18"/>
      <c r="AA543" s="18"/>
      <c r="AB543" s="18"/>
    </row>
    <row r="544" spans="1:28" ht="12.5" customHeight="1">
      <c r="A544" s="19">
        <v>543</v>
      </c>
      <c r="B544" s="30" t="s">
        <v>2597</v>
      </c>
      <c r="C544" s="30" t="s">
        <v>2460</v>
      </c>
      <c r="D544" s="31" t="s">
        <v>2598</v>
      </c>
      <c r="E544" s="30" t="s">
        <v>2599</v>
      </c>
      <c r="F544" s="30" t="s">
        <v>1918</v>
      </c>
      <c r="G544" s="30">
        <v>2002</v>
      </c>
      <c r="H544" s="30" t="s">
        <v>2518</v>
      </c>
      <c r="I544" s="30" t="str">
        <f t="shared" si="4"/>
        <v>Early</v>
      </c>
      <c r="J544" s="30" t="str">
        <f t="shared" si="5"/>
        <v>Yes</v>
      </c>
      <c r="K544" s="30"/>
      <c r="L544" s="30"/>
      <c r="M544" s="18"/>
      <c r="N544" s="18"/>
      <c r="O544" s="18"/>
      <c r="P544" s="18"/>
      <c r="Q544" s="18"/>
      <c r="R544" s="18"/>
      <c r="S544" s="18"/>
      <c r="T544" s="18"/>
      <c r="U544" s="18"/>
      <c r="V544" s="18"/>
      <c r="W544" s="18"/>
      <c r="X544" s="18"/>
      <c r="Y544" s="18"/>
      <c r="Z544" s="18"/>
      <c r="AA544" s="18"/>
      <c r="AB544" s="18"/>
    </row>
    <row r="545" spans="1:28" ht="12.5" customHeight="1">
      <c r="A545" s="19">
        <v>544</v>
      </c>
      <c r="B545" s="30" t="s">
        <v>2600</v>
      </c>
      <c r="C545" s="30" t="s">
        <v>2460</v>
      </c>
      <c r="D545" s="31" t="s">
        <v>2601</v>
      </c>
      <c r="E545" s="30" t="s">
        <v>2602</v>
      </c>
      <c r="F545" s="30" t="s">
        <v>2603</v>
      </c>
      <c r="G545" s="30">
        <v>2009</v>
      </c>
      <c r="H545" s="30" t="s">
        <v>2604</v>
      </c>
      <c r="I545" s="30" t="str">
        <f t="shared" si="4"/>
        <v>Early</v>
      </c>
      <c r="J545" s="30" t="str">
        <f t="shared" si="5"/>
        <v>Yes</v>
      </c>
      <c r="K545" s="30"/>
      <c r="L545" s="30"/>
      <c r="M545" s="18"/>
      <c r="N545" s="18"/>
      <c r="O545" s="18"/>
      <c r="P545" s="18"/>
      <c r="Q545" s="18"/>
      <c r="R545" s="18"/>
      <c r="S545" s="18"/>
      <c r="T545" s="18"/>
      <c r="U545" s="18"/>
      <c r="V545" s="18"/>
      <c r="W545" s="18"/>
      <c r="X545" s="18"/>
      <c r="Y545" s="18"/>
      <c r="Z545" s="18"/>
      <c r="AA545" s="18"/>
      <c r="AB545" s="18"/>
    </row>
    <row r="546" spans="1:28" ht="12.5" customHeight="1">
      <c r="A546" s="19">
        <v>545</v>
      </c>
      <c r="B546" s="30" t="s">
        <v>2605</v>
      </c>
      <c r="C546" s="30" t="s">
        <v>2460</v>
      </c>
      <c r="D546" s="31" t="s">
        <v>2606</v>
      </c>
      <c r="E546" s="30" t="s">
        <v>2607</v>
      </c>
      <c r="F546" s="30" t="s">
        <v>2608</v>
      </c>
      <c r="G546" s="30">
        <v>2012</v>
      </c>
      <c r="H546" s="30" t="s">
        <v>2490</v>
      </c>
      <c r="I546" s="30" t="str">
        <f t="shared" si="4"/>
        <v>Middle</v>
      </c>
      <c r="J546" s="30" t="str">
        <f t="shared" si="5"/>
        <v>Yes</v>
      </c>
      <c r="K546" s="30"/>
      <c r="L546" s="30"/>
      <c r="M546" s="18"/>
      <c r="N546" s="18"/>
      <c r="O546" s="18"/>
      <c r="P546" s="18"/>
      <c r="Q546" s="18"/>
      <c r="R546" s="18"/>
      <c r="S546" s="18"/>
      <c r="T546" s="18"/>
      <c r="U546" s="18"/>
      <c r="V546" s="18"/>
      <c r="W546" s="18"/>
      <c r="X546" s="18"/>
      <c r="Y546" s="18"/>
      <c r="Z546" s="18"/>
      <c r="AA546" s="18"/>
      <c r="AB546" s="18"/>
    </row>
    <row r="547" spans="1:28" ht="12.5" customHeight="1">
      <c r="A547" s="19">
        <v>546</v>
      </c>
      <c r="B547" s="30" t="s">
        <v>2609</v>
      </c>
      <c r="C547" s="30" t="s">
        <v>2460</v>
      </c>
      <c r="D547" s="4" t="s">
        <v>2610</v>
      </c>
      <c r="E547" s="30" t="s">
        <v>2611</v>
      </c>
      <c r="F547" s="30" t="s">
        <v>2608</v>
      </c>
      <c r="G547" s="30">
        <v>2013</v>
      </c>
      <c r="H547" s="30" t="s">
        <v>2612</v>
      </c>
      <c r="I547" s="30" t="str">
        <f t="shared" si="4"/>
        <v>Middle</v>
      </c>
      <c r="J547" s="30" t="str">
        <f t="shared" si="5"/>
        <v>Yes</v>
      </c>
      <c r="K547" s="30"/>
      <c r="L547" s="30"/>
      <c r="M547" s="18"/>
      <c r="N547" s="18"/>
      <c r="O547" s="18"/>
      <c r="P547" s="18"/>
      <c r="Q547" s="18"/>
      <c r="R547" s="18"/>
      <c r="S547" s="18"/>
      <c r="T547" s="18"/>
      <c r="U547" s="18"/>
      <c r="V547" s="18"/>
      <c r="W547" s="18"/>
      <c r="X547" s="18"/>
      <c r="Y547" s="18"/>
      <c r="Z547" s="18"/>
      <c r="AA547" s="18"/>
      <c r="AB547" s="18"/>
    </row>
    <row r="548" spans="1:28" ht="12.5" customHeight="1">
      <c r="A548" s="19">
        <v>547</v>
      </c>
      <c r="B548" s="30" t="s">
        <v>2613</v>
      </c>
      <c r="C548" s="30" t="s">
        <v>2460</v>
      </c>
      <c r="D548" s="31" t="s">
        <v>2614</v>
      </c>
      <c r="E548" s="30" t="s">
        <v>2615</v>
      </c>
      <c r="F548" s="30" t="s">
        <v>2616</v>
      </c>
      <c r="G548" s="30">
        <v>2007</v>
      </c>
      <c r="H548" s="30" t="s">
        <v>2495</v>
      </c>
      <c r="I548" s="30" t="str">
        <f t="shared" si="4"/>
        <v>Early</v>
      </c>
      <c r="J548" s="30" t="str">
        <f t="shared" si="5"/>
        <v>Yes</v>
      </c>
      <c r="K548" s="30"/>
      <c r="L548" s="30"/>
      <c r="M548" s="18"/>
      <c r="N548" s="18"/>
      <c r="O548" s="18"/>
      <c r="P548" s="18"/>
      <c r="Q548" s="18"/>
      <c r="R548" s="18"/>
      <c r="S548" s="18"/>
      <c r="T548" s="18"/>
      <c r="U548" s="18"/>
      <c r="V548" s="18"/>
      <c r="W548" s="18"/>
      <c r="X548" s="18"/>
      <c r="Y548" s="18"/>
      <c r="Z548" s="18"/>
      <c r="AA548" s="18"/>
      <c r="AB548" s="18"/>
    </row>
    <row r="549" spans="1:28" ht="12.5" customHeight="1">
      <c r="A549" s="19">
        <v>548</v>
      </c>
      <c r="B549" s="30" t="s">
        <v>2617</v>
      </c>
      <c r="C549" s="30" t="s">
        <v>2460</v>
      </c>
      <c r="D549" s="31" t="s">
        <v>2618</v>
      </c>
      <c r="E549" s="30" t="s">
        <v>2619</v>
      </c>
      <c r="F549" s="30" t="s">
        <v>2620</v>
      </c>
      <c r="G549" s="30">
        <v>2000</v>
      </c>
      <c r="H549" s="30" t="s">
        <v>2535</v>
      </c>
      <c r="I549" s="30" t="str">
        <f t="shared" si="4"/>
        <v>Early</v>
      </c>
      <c r="J549" s="30" t="str">
        <f t="shared" si="5"/>
        <v>Yes</v>
      </c>
      <c r="K549" s="30"/>
      <c r="L549" s="30"/>
      <c r="M549" s="18"/>
      <c r="N549" s="18"/>
      <c r="O549" s="18"/>
      <c r="P549" s="18"/>
      <c r="Q549" s="18"/>
      <c r="R549" s="18"/>
      <c r="S549" s="18"/>
      <c r="T549" s="18"/>
      <c r="U549" s="18"/>
      <c r="V549" s="18"/>
      <c r="W549" s="18"/>
      <c r="X549" s="18"/>
      <c r="Y549" s="18"/>
      <c r="Z549" s="18"/>
      <c r="AA549" s="18"/>
      <c r="AB549" s="18"/>
    </row>
    <row r="550" spans="1:28" ht="12.5" customHeight="1">
      <c r="A550" s="19">
        <v>549</v>
      </c>
      <c r="B550" s="30" t="s">
        <v>2621</v>
      </c>
      <c r="C550" s="30" t="s">
        <v>2460</v>
      </c>
      <c r="D550" s="31" t="s">
        <v>2622</v>
      </c>
      <c r="E550" s="30" t="s">
        <v>2623</v>
      </c>
      <c r="F550" s="30" t="s">
        <v>2624</v>
      </c>
      <c r="G550" s="30">
        <v>2019</v>
      </c>
      <c r="H550" s="30" t="s">
        <v>2522</v>
      </c>
      <c r="I550" s="30" t="str">
        <f t="shared" si="4"/>
        <v>Recent</v>
      </c>
      <c r="J550" s="30" t="str">
        <f t="shared" si="5"/>
        <v>Yes</v>
      </c>
      <c r="K550" s="30"/>
      <c r="L550" s="30"/>
      <c r="M550" s="18"/>
      <c r="N550" s="18"/>
      <c r="O550" s="18"/>
      <c r="P550" s="18"/>
      <c r="Q550" s="18"/>
      <c r="R550" s="18"/>
      <c r="S550" s="18"/>
      <c r="T550" s="18"/>
      <c r="U550" s="18"/>
      <c r="V550" s="18"/>
      <c r="W550" s="18"/>
      <c r="X550" s="18"/>
      <c r="Y550" s="18"/>
      <c r="Z550" s="18"/>
      <c r="AA550" s="18"/>
      <c r="AB550" s="18"/>
    </row>
    <row r="551" spans="1:28" ht="12.5" customHeight="1">
      <c r="A551" s="19">
        <v>550</v>
      </c>
      <c r="B551" s="30" t="s">
        <v>2625</v>
      </c>
      <c r="C551" s="30" t="s">
        <v>2460</v>
      </c>
      <c r="D551" s="31" t="s">
        <v>2626</v>
      </c>
      <c r="E551" s="30" t="s">
        <v>2627</v>
      </c>
      <c r="F551" s="30" t="s">
        <v>2628</v>
      </c>
      <c r="G551" s="30">
        <v>2005</v>
      </c>
      <c r="H551" s="30" t="s">
        <v>2490</v>
      </c>
      <c r="I551" s="30" t="str">
        <f t="shared" si="4"/>
        <v>Early</v>
      </c>
      <c r="J551" s="30" t="str">
        <f t="shared" si="5"/>
        <v>Yes</v>
      </c>
      <c r="K551" s="30"/>
      <c r="L551" s="30"/>
      <c r="M551" s="18"/>
      <c r="N551" s="18"/>
      <c r="O551" s="18"/>
      <c r="P551" s="18"/>
      <c r="Q551" s="18"/>
      <c r="R551" s="18"/>
      <c r="S551" s="18"/>
      <c r="T551" s="18"/>
      <c r="U551" s="18"/>
      <c r="V551" s="18"/>
      <c r="W551" s="18"/>
      <c r="X551" s="18"/>
      <c r="Y551" s="18"/>
      <c r="Z551" s="18"/>
      <c r="AA551" s="18"/>
      <c r="AB551" s="18"/>
    </row>
    <row r="552" spans="1:28" ht="12.5" customHeight="1">
      <c r="A552" s="19">
        <v>551</v>
      </c>
      <c r="B552" s="30" t="s">
        <v>2629</v>
      </c>
      <c r="C552" s="30" t="s">
        <v>2460</v>
      </c>
      <c r="D552" s="31" t="s">
        <v>2630</v>
      </c>
      <c r="E552" s="30" t="s">
        <v>2631</v>
      </c>
      <c r="F552" s="30" t="s">
        <v>2632</v>
      </c>
      <c r="G552" s="30">
        <v>1981</v>
      </c>
      <c r="H552" s="30" t="s">
        <v>2633</v>
      </c>
      <c r="I552" s="30" t="str">
        <f t="shared" si="4"/>
        <v>Early</v>
      </c>
      <c r="J552" s="30" t="str">
        <f t="shared" si="5"/>
        <v>Yes</v>
      </c>
      <c r="K552" s="30"/>
      <c r="L552" s="30"/>
      <c r="M552" s="18"/>
      <c r="N552" s="18"/>
      <c r="O552" s="18"/>
      <c r="P552" s="18"/>
      <c r="Q552" s="18"/>
      <c r="R552" s="18"/>
      <c r="S552" s="18"/>
      <c r="T552" s="18"/>
      <c r="U552" s="18"/>
      <c r="V552" s="18"/>
      <c r="W552" s="18"/>
      <c r="X552" s="18"/>
      <c r="Y552" s="18"/>
      <c r="Z552" s="18"/>
      <c r="AA552" s="18"/>
      <c r="AB552" s="18"/>
    </row>
    <row r="553" spans="1:28" ht="12.5" customHeight="1">
      <c r="A553" s="19">
        <v>552</v>
      </c>
      <c r="B553" s="30" t="s">
        <v>2634</v>
      </c>
      <c r="C553" s="30" t="s">
        <v>2460</v>
      </c>
      <c r="D553" s="31" t="s">
        <v>2635</v>
      </c>
      <c r="E553" s="30" t="s">
        <v>2636</v>
      </c>
      <c r="F553" s="30" t="s">
        <v>2637</v>
      </c>
      <c r="G553" s="30">
        <v>2001</v>
      </c>
      <c r="H553" s="30" t="s">
        <v>2472</v>
      </c>
      <c r="I553" s="30" t="str">
        <f t="shared" si="4"/>
        <v>Early</v>
      </c>
      <c r="J553" s="30" t="str">
        <f t="shared" si="5"/>
        <v>Yes</v>
      </c>
      <c r="K553" s="30"/>
      <c r="L553" s="30"/>
      <c r="M553" s="18"/>
      <c r="N553" s="18"/>
      <c r="O553" s="18"/>
      <c r="P553" s="18"/>
      <c r="Q553" s="18"/>
      <c r="R553" s="18"/>
      <c r="S553" s="18"/>
      <c r="T553" s="18"/>
      <c r="U553" s="18"/>
      <c r="V553" s="18"/>
      <c r="W553" s="18"/>
      <c r="X553" s="18"/>
      <c r="Y553" s="18"/>
      <c r="Z553" s="18"/>
      <c r="AA553" s="18"/>
      <c r="AB553" s="18"/>
    </row>
    <row r="554" spans="1:28" ht="12.5" customHeight="1">
      <c r="A554" s="23">
        <v>553</v>
      </c>
      <c r="B554" s="23" t="s">
        <v>2638</v>
      </c>
      <c r="C554" s="23" t="s">
        <v>2460</v>
      </c>
      <c r="D554" s="23"/>
      <c r="E554" s="23" t="s">
        <v>2639</v>
      </c>
      <c r="F554" s="23" t="s">
        <v>2640</v>
      </c>
      <c r="G554" s="23">
        <v>2018</v>
      </c>
      <c r="H554" s="23" t="s">
        <v>2641</v>
      </c>
      <c r="I554" s="23" t="str">
        <f t="shared" si="4"/>
        <v>Recent</v>
      </c>
      <c r="J554" s="23" t="str">
        <f t="shared" si="5"/>
        <v>No</v>
      </c>
      <c r="K554" s="23"/>
      <c r="L554" s="23"/>
      <c r="M554" s="23"/>
      <c r="N554" s="23"/>
      <c r="O554" s="23"/>
      <c r="P554" s="23"/>
      <c r="Q554" s="23"/>
      <c r="R554" s="23"/>
      <c r="S554" s="23"/>
      <c r="T554" s="23"/>
      <c r="U554" s="23"/>
      <c r="V554" s="23"/>
      <c r="W554" s="23"/>
      <c r="X554" s="23"/>
      <c r="Y554" s="23"/>
      <c r="Z554" s="23"/>
      <c r="AA554" s="23"/>
      <c r="AB554" s="23"/>
    </row>
    <row r="555" spans="1:28" ht="12.5" customHeight="1">
      <c r="A555" s="19">
        <v>554</v>
      </c>
      <c r="B555" s="30" t="s">
        <v>2642</v>
      </c>
      <c r="C555" s="30" t="s">
        <v>2460</v>
      </c>
      <c r="D555" s="31" t="s">
        <v>2643</v>
      </c>
      <c r="E555" s="30" t="s">
        <v>2644</v>
      </c>
      <c r="F555" s="30" t="s">
        <v>2645</v>
      </c>
      <c r="G555" s="30">
        <v>1982</v>
      </c>
      <c r="H555" s="30" t="s">
        <v>2576</v>
      </c>
      <c r="I555" s="30" t="str">
        <f t="shared" si="4"/>
        <v>Early</v>
      </c>
      <c r="J555" s="30" t="str">
        <f t="shared" si="5"/>
        <v>Yes</v>
      </c>
      <c r="K555" s="30"/>
      <c r="L555" s="30"/>
      <c r="M555" s="18"/>
      <c r="N555" s="18"/>
      <c r="O555" s="18"/>
      <c r="P555" s="18"/>
      <c r="Q555" s="18"/>
      <c r="R555" s="18"/>
      <c r="S555" s="18"/>
      <c r="T555" s="18"/>
      <c r="U555" s="18"/>
      <c r="V555" s="18"/>
      <c r="W555" s="18"/>
      <c r="X555" s="18"/>
      <c r="Y555" s="18"/>
      <c r="Z555" s="18"/>
      <c r="AA555" s="18"/>
      <c r="AB555" s="18"/>
    </row>
    <row r="556" spans="1:28" ht="12.5" customHeight="1">
      <c r="A556" s="19">
        <v>555</v>
      </c>
      <c r="B556" s="30" t="s">
        <v>2646</v>
      </c>
      <c r="C556" s="30" t="s">
        <v>2460</v>
      </c>
      <c r="D556" s="31" t="s">
        <v>2647</v>
      </c>
      <c r="E556" s="30" t="s">
        <v>2648</v>
      </c>
      <c r="F556" s="30" t="s">
        <v>2645</v>
      </c>
      <c r="G556" s="30">
        <v>2002</v>
      </c>
      <c r="H556" s="30" t="s">
        <v>2591</v>
      </c>
      <c r="I556" s="30" t="str">
        <f t="shared" si="4"/>
        <v>Early</v>
      </c>
      <c r="J556" s="30" t="str">
        <f t="shared" si="5"/>
        <v>Yes</v>
      </c>
      <c r="K556" s="30"/>
      <c r="L556" s="30"/>
      <c r="M556" s="18"/>
      <c r="N556" s="18"/>
      <c r="O556" s="18"/>
      <c r="P556" s="18"/>
      <c r="Q556" s="18"/>
      <c r="R556" s="18"/>
      <c r="S556" s="18"/>
      <c r="T556" s="18"/>
      <c r="U556" s="18"/>
      <c r="V556" s="18"/>
      <c r="W556" s="18"/>
      <c r="X556" s="18"/>
      <c r="Y556" s="18"/>
      <c r="Z556" s="18"/>
      <c r="AA556" s="18"/>
      <c r="AB556" s="18"/>
    </row>
    <row r="557" spans="1:28" ht="12.5" customHeight="1">
      <c r="A557" s="19">
        <v>556</v>
      </c>
      <c r="B557" s="30" t="s">
        <v>2649</v>
      </c>
      <c r="C557" s="30" t="s">
        <v>2460</v>
      </c>
      <c r="D557" s="31" t="s">
        <v>2650</v>
      </c>
      <c r="E557" s="30" t="s">
        <v>2651</v>
      </c>
      <c r="F557" s="30" t="s">
        <v>2652</v>
      </c>
      <c r="G557" s="30">
        <v>2014</v>
      </c>
      <c r="H557" s="30" t="s">
        <v>2591</v>
      </c>
      <c r="I557" s="30" t="str">
        <f t="shared" si="4"/>
        <v>Middle</v>
      </c>
      <c r="J557" s="30" t="str">
        <f t="shared" si="5"/>
        <v>Yes</v>
      </c>
      <c r="K557" s="30"/>
      <c r="L557" s="30"/>
      <c r="M557" s="18"/>
      <c r="N557" s="18"/>
      <c r="O557" s="18"/>
      <c r="P557" s="18"/>
      <c r="Q557" s="18"/>
      <c r="R557" s="18"/>
      <c r="S557" s="18"/>
      <c r="T557" s="18"/>
      <c r="U557" s="18"/>
      <c r="V557" s="18"/>
      <c r="W557" s="18"/>
      <c r="X557" s="18"/>
      <c r="Y557" s="18"/>
      <c r="Z557" s="18"/>
      <c r="AA557" s="18"/>
      <c r="AB557" s="18"/>
    </row>
    <row r="558" spans="1:28" ht="12.5" customHeight="1">
      <c r="A558" s="19">
        <v>557</v>
      </c>
      <c r="B558" s="30" t="s">
        <v>2653</v>
      </c>
      <c r="C558" s="30" t="s">
        <v>2460</v>
      </c>
      <c r="D558" s="31" t="s">
        <v>2654</v>
      </c>
      <c r="E558" s="30" t="s">
        <v>2655</v>
      </c>
      <c r="F558" s="30" t="s">
        <v>2656</v>
      </c>
      <c r="G558" s="30">
        <v>2014</v>
      </c>
      <c r="H558" s="30" t="s">
        <v>2490</v>
      </c>
      <c r="I558" s="30" t="str">
        <f t="shared" si="4"/>
        <v>Middle</v>
      </c>
      <c r="J558" s="30" t="str">
        <f t="shared" si="5"/>
        <v>Yes</v>
      </c>
      <c r="K558" s="30"/>
      <c r="L558" s="30"/>
      <c r="M558" s="18"/>
      <c r="N558" s="18"/>
      <c r="O558" s="18"/>
      <c r="P558" s="18"/>
      <c r="Q558" s="18"/>
      <c r="R558" s="18"/>
      <c r="S558" s="18"/>
      <c r="T558" s="18"/>
      <c r="U558" s="18"/>
      <c r="V558" s="18"/>
      <c r="W558" s="18"/>
      <c r="X558" s="18"/>
      <c r="Y558" s="18"/>
      <c r="Z558" s="18"/>
      <c r="AA558" s="18"/>
      <c r="AB558" s="18"/>
    </row>
    <row r="559" spans="1:28" ht="12.5" customHeight="1">
      <c r="A559" s="19">
        <v>558</v>
      </c>
      <c r="B559" s="30" t="s">
        <v>2657</v>
      </c>
      <c r="C559" s="30" t="s">
        <v>2460</v>
      </c>
      <c r="D559" s="31" t="s">
        <v>2658</v>
      </c>
      <c r="E559" s="30" t="s">
        <v>2659</v>
      </c>
      <c r="F559" s="30" t="s">
        <v>2660</v>
      </c>
      <c r="G559" s="30">
        <v>2006</v>
      </c>
      <c r="H559" s="30" t="s">
        <v>2586</v>
      </c>
      <c r="I559" s="30" t="str">
        <f t="shared" si="4"/>
        <v>Early</v>
      </c>
      <c r="J559" s="30" t="str">
        <f t="shared" si="5"/>
        <v>Yes</v>
      </c>
      <c r="K559" s="30"/>
      <c r="L559" s="30"/>
      <c r="M559" s="18"/>
      <c r="N559" s="18"/>
      <c r="O559" s="18"/>
      <c r="P559" s="18"/>
      <c r="Q559" s="18"/>
      <c r="R559" s="18"/>
      <c r="S559" s="18"/>
      <c r="T559" s="18"/>
      <c r="U559" s="18"/>
      <c r="V559" s="18"/>
      <c r="W559" s="18"/>
      <c r="X559" s="18"/>
      <c r="Y559" s="18"/>
      <c r="Z559" s="18"/>
      <c r="AA559" s="18"/>
      <c r="AB559" s="18"/>
    </row>
    <row r="560" spans="1:28" ht="12.5" customHeight="1">
      <c r="A560" s="19">
        <v>559</v>
      </c>
      <c r="B560" s="30" t="s">
        <v>2661</v>
      </c>
      <c r="C560" s="30" t="s">
        <v>2460</v>
      </c>
      <c r="D560" s="31" t="s">
        <v>2662</v>
      </c>
      <c r="E560" s="30" t="s">
        <v>2663</v>
      </c>
      <c r="F560" s="30" t="s">
        <v>2664</v>
      </c>
      <c r="G560" s="30">
        <v>2020</v>
      </c>
      <c r="H560" s="30" t="s">
        <v>2576</v>
      </c>
      <c r="I560" s="30" t="str">
        <f t="shared" si="4"/>
        <v>Recent</v>
      </c>
      <c r="J560" s="30" t="str">
        <f t="shared" si="5"/>
        <v>Yes</v>
      </c>
      <c r="K560" s="30"/>
      <c r="L560" s="30"/>
      <c r="M560" s="18"/>
      <c r="N560" s="18"/>
      <c r="O560" s="18"/>
      <c r="P560" s="18"/>
      <c r="Q560" s="18"/>
      <c r="R560" s="18"/>
      <c r="S560" s="18"/>
      <c r="T560" s="18"/>
      <c r="U560" s="18"/>
      <c r="V560" s="18"/>
      <c r="W560" s="18"/>
      <c r="X560" s="18"/>
      <c r="Y560" s="18"/>
      <c r="Z560" s="18"/>
      <c r="AA560" s="18"/>
      <c r="AB560" s="18"/>
    </row>
    <row r="561" spans="1:28" ht="12.5" customHeight="1">
      <c r="A561" s="19">
        <v>560</v>
      </c>
      <c r="B561" s="30" t="s">
        <v>2665</v>
      </c>
      <c r="C561" s="30" t="s">
        <v>2460</v>
      </c>
      <c r="D561" s="31" t="s">
        <v>2666</v>
      </c>
      <c r="E561" s="30" t="s">
        <v>2667</v>
      </c>
      <c r="F561" s="30" t="s">
        <v>744</v>
      </c>
      <c r="G561" s="30">
        <v>2006</v>
      </c>
      <c r="H561" s="30" t="s">
        <v>2668</v>
      </c>
      <c r="I561" s="30" t="str">
        <f t="shared" si="4"/>
        <v>Early</v>
      </c>
      <c r="J561" s="30" t="str">
        <f t="shared" si="5"/>
        <v>Yes</v>
      </c>
      <c r="K561" s="30"/>
      <c r="L561" s="30"/>
      <c r="M561" s="18"/>
      <c r="N561" s="18"/>
      <c r="O561" s="18"/>
      <c r="P561" s="18"/>
      <c r="Q561" s="18"/>
      <c r="R561" s="18"/>
      <c r="S561" s="18"/>
      <c r="T561" s="18"/>
      <c r="U561" s="18"/>
      <c r="V561" s="18"/>
      <c r="W561" s="18"/>
      <c r="X561" s="18"/>
      <c r="Y561" s="18"/>
      <c r="Z561" s="18"/>
      <c r="AA561" s="18"/>
      <c r="AB561" s="18"/>
    </row>
    <row r="562" spans="1:28" ht="12.5" customHeight="1">
      <c r="A562" s="19">
        <v>561</v>
      </c>
      <c r="B562" s="30" t="s">
        <v>2669</v>
      </c>
      <c r="C562" s="30" t="s">
        <v>2460</v>
      </c>
      <c r="D562" s="31" t="s">
        <v>2670</v>
      </c>
      <c r="E562" s="30" t="s">
        <v>2671</v>
      </c>
      <c r="F562" s="30" t="s">
        <v>744</v>
      </c>
      <c r="G562" s="30">
        <v>2008</v>
      </c>
      <c r="H562" s="30" t="s">
        <v>2490</v>
      </c>
      <c r="I562" s="30" t="str">
        <f t="shared" si="4"/>
        <v>Early</v>
      </c>
      <c r="J562" s="30" t="str">
        <f t="shared" si="5"/>
        <v>Yes</v>
      </c>
      <c r="K562" s="30"/>
      <c r="L562" s="30"/>
      <c r="M562" s="18"/>
      <c r="N562" s="18"/>
      <c r="O562" s="18"/>
      <c r="P562" s="18"/>
      <c r="Q562" s="18"/>
      <c r="R562" s="18"/>
      <c r="S562" s="18"/>
      <c r="T562" s="18"/>
      <c r="U562" s="18"/>
      <c r="V562" s="18"/>
      <c r="W562" s="18"/>
      <c r="X562" s="18"/>
      <c r="Y562" s="18"/>
      <c r="Z562" s="18"/>
      <c r="AA562" s="18"/>
      <c r="AB562" s="18"/>
    </row>
    <row r="563" spans="1:28" ht="12.5" customHeight="1">
      <c r="A563" s="19">
        <v>562</v>
      </c>
      <c r="B563" s="30" t="s">
        <v>2672</v>
      </c>
      <c r="C563" s="30" t="s">
        <v>2460</v>
      </c>
      <c r="D563" s="31" t="s">
        <v>2673</v>
      </c>
      <c r="E563" s="30" t="s">
        <v>2674</v>
      </c>
      <c r="F563" s="30" t="s">
        <v>2675</v>
      </c>
      <c r="G563" s="30">
        <v>2002</v>
      </c>
      <c r="H563" s="30" t="s">
        <v>2522</v>
      </c>
      <c r="I563" s="30" t="str">
        <f t="shared" si="4"/>
        <v>Early</v>
      </c>
      <c r="J563" s="30" t="str">
        <f t="shared" si="5"/>
        <v>Yes</v>
      </c>
      <c r="K563" s="30"/>
      <c r="L563" s="30"/>
      <c r="M563" s="18"/>
      <c r="N563" s="18"/>
      <c r="O563" s="18"/>
      <c r="P563" s="18"/>
      <c r="Q563" s="18"/>
      <c r="R563" s="18"/>
      <c r="S563" s="18"/>
      <c r="T563" s="18"/>
      <c r="U563" s="18"/>
      <c r="V563" s="18"/>
      <c r="W563" s="18"/>
      <c r="X563" s="18"/>
      <c r="Y563" s="18"/>
      <c r="Z563" s="18"/>
      <c r="AA563" s="18"/>
      <c r="AB563" s="18"/>
    </row>
    <row r="564" spans="1:28" ht="12.5" customHeight="1">
      <c r="A564" s="19">
        <v>563</v>
      </c>
      <c r="B564" s="36" t="s">
        <v>2676</v>
      </c>
      <c r="C564" s="36" t="s">
        <v>2677</v>
      </c>
      <c r="D564" s="40" t="s">
        <v>2678</v>
      </c>
      <c r="E564" s="36" t="s">
        <v>2679</v>
      </c>
      <c r="F564" s="36" t="s">
        <v>2680</v>
      </c>
      <c r="G564" s="36">
        <v>2015</v>
      </c>
      <c r="H564" s="36" t="s">
        <v>2681</v>
      </c>
      <c r="I564" s="36" t="str">
        <f t="shared" si="4"/>
        <v>Middle</v>
      </c>
      <c r="J564" s="36" t="str">
        <f t="shared" si="5"/>
        <v>Yes</v>
      </c>
      <c r="K564" s="36"/>
      <c r="L564" s="36"/>
      <c r="M564" s="18"/>
      <c r="N564" s="18"/>
      <c r="O564" s="18"/>
      <c r="P564" s="18"/>
      <c r="Q564" s="18"/>
      <c r="R564" s="18"/>
      <c r="S564" s="18"/>
      <c r="T564" s="18"/>
      <c r="U564" s="18"/>
      <c r="V564" s="18"/>
      <c r="W564" s="18"/>
      <c r="X564" s="18"/>
      <c r="Y564" s="18"/>
      <c r="Z564" s="18"/>
      <c r="AA564" s="18"/>
      <c r="AB564" s="18"/>
    </row>
    <row r="565" spans="1:28" ht="12.5" customHeight="1">
      <c r="A565" s="19">
        <v>564</v>
      </c>
      <c r="B565" s="36" t="s">
        <v>2682</v>
      </c>
      <c r="C565" s="36" t="s">
        <v>2677</v>
      </c>
      <c r="D565" s="40" t="s">
        <v>2683</v>
      </c>
      <c r="E565" s="36" t="s">
        <v>2684</v>
      </c>
      <c r="F565" s="36" t="s">
        <v>2685</v>
      </c>
      <c r="G565" s="36">
        <v>2014</v>
      </c>
      <c r="H565" s="36" t="s">
        <v>2686</v>
      </c>
      <c r="I565" s="36" t="str">
        <f t="shared" si="4"/>
        <v>Middle</v>
      </c>
      <c r="J565" s="36" t="str">
        <f t="shared" si="5"/>
        <v>Yes</v>
      </c>
      <c r="K565" s="36"/>
      <c r="L565" s="36"/>
      <c r="M565" s="18"/>
      <c r="N565" s="18"/>
      <c r="O565" s="18"/>
      <c r="P565" s="18"/>
      <c r="Q565" s="18"/>
      <c r="R565" s="18"/>
      <c r="S565" s="18"/>
      <c r="T565" s="18"/>
      <c r="U565" s="18"/>
      <c r="V565" s="18"/>
      <c r="W565" s="18"/>
      <c r="X565" s="18"/>
      <c r="Y565" s="18"/>
      <c r="Z565" s="18"/>
      <c r="AA565" s="18"/>
      <c r="AB565" s="18"/>
    </row>
    <row r="566" spans="1:28" ht="12.5" customHeight="1">
      <c r="A566" s="19">
        <v>565</v>
      </c>
      <c r="B566" s="36" t="s">
        <v>2687</v>
      </c>
      <c r="C566" s="36" t="s">
        <v>2677</v>
      </c>
      <c r="D566" s="40" t="s">
        <v>2688</v>
      </c>
      <c r="E566" s="36" t="s">
        <v>2689</v>
      </c>
      <c r="F566" s="36" t="s">
        <v>2690</v>
      </c>
      <c r="G566" s="36">
        <v>2014</v>
      </c>
      <c r="H566" s="36" t="s">
        <v>2691</v>
      </c>
      <c r="I566" s="36" t="str">
        <f t="shared" si="4"/>
        <v>Middle</v>
      </c>
      <c r="J566" s="36" t="str">
        <f t="shared" si="5"/>
        <v>Yes</v>
      </c>
      <c r="K566" s="36"/>
      <c r="L566" s="36"/>
      <c r="M566" s="18"/>
      <c r="N566" s="18"/>
      <c r="O566" s="18"/>
      <c r="P566" s="18"/>
      <c r="Q566" s="18"/>
      <c r="R566" s="18"/>
      <c r="S566" s="18"/>
      <c r="T566" s="18"/>
      <c r="U566" s="18"/>
      <c r="V566" s="18"/>
      <c r="W566" s="18"/>
      <c r="X566" s="18"/>
      <c r="Y566" s="18"/>
      <c r="Z566" s="18"/>
      <c r="AA566" s="18"/>
      <c r="AB566" s="18"/>
    </row>
    <row r="567" spans="1:28" ht="12.5" customHeight="1">
      <c r="A567" s="19">
        <v>566</v>
      </c>
      <c r="B567" s="36" t="s">
        <v>2692</v>
      </c>
      <c r="C567" s="36" t="s">
        <v>2677</v>
      </c>
      <c r="D567" s="40" t="s">
        <v>2693</v>
      </c>
      <c r="E567" s="36" t="s">
        <v>2694</v>
      </c>
      <c r="F567" s="36" t="s">
        <v>2695</v>
      </c>
      <c r="G567" s="36">
        <v>2005</v>
      </c>
      <c r="H567" s="36" t="s">
        <v>2696</v>
      </c>
      <c r="I567" s="36" t="str">
        <f t="shared" si="4"/>
        <v>Early</v>
      </c>
      <c r="J567" s="36" t="str">
        <f t="shared" si="5"/>
        <v>Yes</v>
      </c>
      <c r="K567" s="36"/>
      <c r="L567" s="36"/>
      <c r="M567" s="18"/>
      <c r="N567" s="18"/>
      <c r="O567" s="18"/>
      <c r="P567" s="18"/>
      <c r="Q567" s="18"/>
      <c r="R567" s="18"/>
      <c r="S567" s="18"/>
      <c r="T567" s="18"/>
      <c r="U567" s="18"/>
      <c r="V567" s="18"/>
      <c r="W567" s="18"/>
      <c r="X567" s="18"/>
      <c r="Y567" s="18"/>
      <c r="Z567" s="18"/>
      <c r="AA567" s="18"/>
      <c r="AB567" s="18"/>
    </row>
    <row r="568" spans="1:28" ht="12.5" customHeight="1">
      <c r="A568" s="19">
        <v>567</v>
      </c>
      <c r="B568" s="36" t="s">
        <v>2697</v>
      </c>
      <c r="C568" s="36" t="s">
        <v>2677</v>
      </c>
      <c r="D568" s="40" t="s">
        <v>2698</v>
      </c>
      <c r="E568" s="36" t="s">
        <v>2699</v>
      </c>
      <c r="F568" s="36" t="s">
        <v>2700</v>
      </c>
      <c r="G568" s="36">
        <v>2004</v>
      </c>
      <c r="H568" s="36" t="s">
        <v>2701</v>
      </c>
      <c r="I568" s="36" t="str">
        <f t="shared" si="4"/>
        <v>Early</v>
      </c>
      <c r="J568" s="36" t="str">
        <f t="shared" si="5"/>
        <v>Yes</v>
      </c>
      <c r="K568" s="36"/>
      <c r="L568" s="36"/>
      <c r="M568" s="18"/>
      <c r="N568" s="18"/>
      <c r="O568" s="18"/>
      <c r="P568" s="18"/>
      <c r="Q568" s="18"/>
      <c r="R568" s="18"/>
      <c r="S568" s="18"/>
      <c r="T568" s="18"/>
      <c r="U568" s="18"/>
      <c r="V568" s="18"/>
      <c r="W568" s="18"/>
      <c r="X568" s="18"/>
      <c r="Y568" s="18"/>
      <c r="Z568" s="18"/>
      <c r="AA568" s="18"/>
      <c r="AB568" s="18"/>
    </row>
    <row r="569" spans="1:28" ht="12.5" customHeight="1">
      <c r="A569" s="19">
        <v>568</v>
      </c>
      <c r="B569" s="36" t="s">
        <v>2702</v>
      </c>
      <c r="C569" s="36" t="s">
        <v>2677</v>
      </c>
      <c r="D569" s="40" t="s">
        <v>2703</v>
      </c>
      <c r="E569" s="36" t="s">
        <v>2704</v>
      </c>
      <c r="F569" s="36" t="s">
        <v>2705</v>
      </c>
      <c r="G569" s="36">
        <v>2003</v>
      </c>
      <c r="H569" s="36" t="s">
        <v>2706</v>
      </c>
      <c r="I569" s="36" t="str">
        <f t="shared" si="4"/>
        <v>Early</v>
      </c>
      <c r="J569" s="36" t="str">
        <f t="shared" si="5"/>
        <v>Yes</v>
      </c>
      <c r="K569" s="36"/>
      <c r="L569" s="36"/>
      <c r="M569" s="18"/>
      <c r="N569" s="18"/>
      <c r="O569" s="18"/>
      <c r="P569" s="18"/>
      <c r="Q569" s="18"/>
      <c r="R569" s="18"/>
      <c r="S569" s="18"/>
      <c r="T569" s="18"/>
      <c r="U569" s="18"/>
      <c r="V569" s="18"/>
      <c r="W569" s="18"/>
      <c r="X569" s="18"/>
      <c r="Y569" s="18"/>
      <c r="Z569" s="18"/>
      <c r="AA569" s="18"/>
      <c r="AB569" s="18"/>
    </row>
    <row r="570" spans="1:28" ht="12.5" customHeight="1">
      <c r="A570" s="19">
        <v>569</v>
      </c>
      <c r="B570" s="36" t="s">
        <v>2707</v>
      </c>
      <c r="C570" s="36" t="s">
        <v>2677</v>
      </c>
      <c r="D570" s="40" t="s">
        <v>2708</v>
      </c>
      <c r="E570" s="36" t="s">
        <v>2709</v>
      </c>
      <c r="F570" s="36" t="s">
        <v>2710</v>
      </c>
      <c r="G570" s="36">
        <v>2014</v>
      </c>
      <c r="H570" s="36" t="s">
        <v>2681</v>
      </c>
      <c r="I570" s="36" t="str">
        <f t="shared" si="4"/>
        <v>Middle</v>
      </c>
      <c r="J570" s="36" t="str">
        <f t="shared" si="5"/>
        <v>Yes</v>
      </c>
      <c r="K570" s="36"/>
      <c r="L570" s="36"/>
      <c r="M570" s="18"/>
      <c r="N570" s="18"/>
      <c r="O570" s="18"/>
      <c r="P570" s="18"/>
      <c r="Q570" s="18"/>
      <c r="R570" s="18"/>
      <c r="S570" s="18"/>
      <c r="T570" s="18"/>
      <c r="U570" s="18"/>
      <c r="V570" s="18"/>
      <c r="W570" s="18"/>
      <c r="X570" s="18"/>
      <c r="Y570" s="18"/>
      <c r="Z570" s="18"/>
      <c r="AA570" s="18"/>
      <c r="AB570" s="18"/>
    </row>
    <row r="571" spans="1:28" ht="12.5" customHeight="1">
      <c r="A571" s="19">
        <v>570</v>
      </c>
      <c r="B571" s="36" t="s">
        <v>2711</v>
      </c>
      <c r="C571" s="36" t="s">
        <v>2677</v>
      </c>
      <c r="D571" s="40" t="s">
        <v>2712</v>
      </c>
      <c r="E571" s="36" t="s">
        <v>2713</v>
      </c>
      <c r="F571" s="36" t="s">
        <v>2714</v>
      </c>
      <c r="G571" s="36">
        <v>2003</v>
      </c>
      <c r="H571" s="36" t="s">
        <v>2715</v>
      </c>
      <c r="I571" s="36" t="str">
        <f t="shared" si="4"/>
        <v>Early</v>
      </c>
      <c r="J571" s="36" t="str">
        <f t="shared" si="5"/>
        <v>Yes</v>
      </c>
      <c r="K571" s="36"/>
      <c r="L571" s="36"/>
      <c r="M571" s="18"/>
      <c r="N571" s="18"/>
      <c r="O571" s="18"/>
      <c r="P571" s="18"/>
      <c r="Q571" s="18"/>
      <c r="R571" s="18"/>
      <c r="S571" s="18"/>
      <c r="T571" s="18"/>
      <c r="U571" s="18"/>
      <c r="V571" s="18"/>
      <c r="W571" s="18"/>
      <c r="X571" s="18"/>
      <c r="Y571" s="18"/>
      <c r="Z571" s="18"/>
      <c r="AA571" s="18"/>
      <c r="AB571" s="18"/>
    </row>
    <row r="572" spans="1:28" ht="12.5" customHeight="1">
      <c r="A572" s="18">
        <v>571</v>
      </c>
      <c r="B572" s="18" t="s">
        <v>2716</v>
      </c>
      <c r="C572" s="18" t="s">
        <v>2677</v>
      </c>
      <c r="D572" s="39" t="s">
        <v>2717</v>
      </c>
      <c r="E572" s="18" t="s">
        <v>2718</v>
      </c>
      <c r="F572" s="18" t="s">
        <v>2719</v>
      </c>
      <c r="G572" s="18">
        <v>1991</v>
      </c>
      <c r="H572" s="18" t="s">
        <v>2720</v>
      </c>
      <c r="I572" s="18" t="str">
        <f t="shared" si="4"/>
        <v>Early</v>
      </c>
      <c r="J572" s="18" t="str">
        <f t="shared" si="5"/>
        <v>Yes</v>
      </c>
      <c r="K572" s="18"/>
      <c r="L572" s="18"/>
      <c r="M572" s="18"/>
      <c r="N572" s="18"/>
      <c r="O572" s="18"/>
      <c r="P572" s="18"/>
      <c r="Q572" s="18"/>
      <c r="R572" s="18"/>
      <c r="S572" s="18"/>
      <c r="T572" s="18"/>
      <c r="U572" s="18"/>
      <c r="V572" s="18"/>
      <c r="W572" s="18"/>
      <c r="X572" s="18"/>
      <c r="Y572" s="18"/>
      <c r="Z572" s="18"/>
      <c r="AA572" s="18"/>
      <c r="AB572" s="18"/>
    </row>
    <row r="573" spans="1:28" ht="12.5" customHeight="1">
      <c r="A573" s="19">
        <v>572</v>
      </c>
      <c r="B573" s="36" t="s">
        <v>2721</v>
      </c>
      <c r="C573" s="36" t="s">
        <v>2677</v>
      </c>
      <c r="D573" s="40" t="s">
        <v>2722</v>
      </c>
      <c r="E573" s="36" t="s">
        <v>2723</v>
      </c>
      <c r="F573" s="36" t="s">
        <v>2724</v>
      </c>
      <c r="G573" s="36">
        <v>2016</v>
      </c>
      <c r="H573" s="36" t="s">
        <v>2725</v>
      </c>
      <c r="I573" s="36" t="str">
        <f t="shared" si="4"/>
        <v>Middle</v>
      </c>
      <c r="J573" s="36" t="str">
        <f t="shared" si="5"/>
        <v>Yes</v>
      </c>
      <c r="K573" s="36"/>
      <c r="L573" s="36"/>
      <c r="M573" s="18"/>
      <c r="N573" s="18"/>
      <c r="O573" s="18"/>
      <c r="P573" s="18"/>
      <c r="Q573" s="18"/>
      <c r="R573" s="18"/>
      <c r="S573" s="18"/>
      <c r="T573" s="18"/>
      <c r="U573" s="18"/>
      <c r="V573" s="18"/>
      <c r="W573" s="18"/>
      <c r="X573" s="18"/>
      <c r="Y573" s="18"/>
      <c r="Z573" s="18"/>
      <c r="AA573" s="18"/>
      <c r="AB573" s="18"/>
    </row>
    <row r="574" spans="1:28" ht="12.5" customHeight="1">
      <c r="A574" s="19">
        <v>573</v>
      </c>
      <c r="B574" s="36" t="s">
        <v>2726</v>
      </c>
      <c r="C574" s="36" t="s">
        <v>2677</v>
      </c>
      <c r="D574" s="40" t="s">
        <v>2727</v>
      </c>
      <c r="E574" s="36" t="s">
        <v>2728</v>
      </c>
      <c r="F574" s="36" t="s">
        <v>2729</v>
      </c>
      <c r="G574" s="36">
        <v>2006</v>
      </c>
      <c r="H574" s="36" t="s">
        <v>2730</v>
      </c>
      <c r="I574" s="36" t="str">
        <f t="shared" si="4"/>
        <v>Early</v>
      </c>
      <c r="J574" s="36" t="str">
        <f t="shared" si="5"/>
        <v>Yes</v>
      </c>
      <c r="K574" s="36"/>
      <c r="L574" s="36"/>
      <c r="M574" s="18"/>
      <c r="N574" s="18"/>
      <c r="O574" s="18"/>
      <c r="P574" s="18"/>
      <c r="Q574" s="18"/>
      <c r="R574" s="18"/>
      <c r="S574" s="18"/>
      <c r="T574" s="18"/>
      <c r="U574" s="18"/>
      <c r="V574" s="18"/>
      <c r="W574" s="18"/>
      <c r="X574" s="18"/>
      <c r="Y574" s="18"/>
      <c r="Z574" s="18"/>
      <c r="AA574" s="18"/>
      <c r="AB574" s="18"/>
    </row>
    <row r="575" spans="1:28" ht="12.5" customHeight="1">
      <c r="A575" s="19">
        <v>574</v>
      </c>
      <c r="B575" s="36" t="s">
        <v>2731</v>
      </c>
      <c r="C575" s="36" t="s">
        <v>2677</v>
      </c>
      <c r="D575" s="40" t="s">
        <v>2732</v>
      </c>
      <c r="E575" s="36" t="s">
        <v>2733</v>
      </c>
      <c r="F575" s="36" t="s">
        <v>2734</v>
      </c>
      <c r="G575" s="36">
        <v>2018</v>
      </c>
      <c r="H575" s="36" t="s">
        <v>2735</v>
      </c>
      <c r="I575" s="36" t="str">
        <f t="shared" si="4"/>
        <v>Recent</v>
      </c>
      <c r="J575" s="36" t="str">
        <f t="shared" si="5"/>
        <v>Yes</v>
      </c>
      <c r="K575" s="36"/>
      <c r="L575" s="36"/>
      <c r="M575" s="18"/>
      <c r="N575" s="18"/>
      <c r="O575" s="18"/>
      <c r="P575" s="18"/>
      <c r="Q575" s="18"/>
      <c r="R575" s="18"/>
      <c r="S575" s="18"/>
      <c r="T575" s="18"/>
      <c r="U575" s="18"/>
      <c r="V575" s="18"/>
      <c r="W575" s="18"/>
      <c r="X575" s="18"/>
      <c r="Y575" s="18"/>
      <c r="Z575" s="18"/>
      <c r="AA575" s="18"/>
      <c r="AB575" s="18"/>
    </row>
    <row r="576" spans="1:28" ht="12.5" customHeight="1">
      <c r="A576" s="19">
        <v>575</v>
      </c>
      <c r="B576" s="36" t="s">
        <v>2736</v>
      </c>
      <c r="C576" s="36" t="s">
        <v>2677</v>
      </c>
      <c r="D576" s="40" t="s">
        <v>2737</v>
      </c>
      <c r="E576" s="36" t="s">
        <v>2738</v>
      </c>
      <c r="F576" s="36" t="s">
        <v>2739</v>
      </c>
      <c r="G576" s="36">
        <v>2015</v>
      </c>
      <c r="H576" s="36" t="s">
        <v>2740</v>
      </c>
      <c r="I576" s="36" t="str">
        <f t="shared" si="4"/>
        <v>Middle</v>
      </c>
      <c r="J576" s="36" t="str">
        <f t="shared" si="5"/>
        <v>Yes</v>
      </c>
      <c r="K576" s="36"/>
      <c r="L576" s="36"/>
      <c r="M576" s="18"/>
      <c r="N576" s="18"/>
      <c r="O576" s="18"/>
      <c r="P576" s="18"/>
      <c r="Q576" s="18"/>
      <c r="R576" s="18"/>
      <c r="S576" s="18"/>
      <c r="T576" s="18"/>
      <c r="U576" s="18"/>
      <c r="V576" s="18"/>
      <c r="W576" s="18"/>
      <c r="X576" s="18"/>
      <c r="Y576" s="18"/>
      <c r="Z576" s="18"/>
      <c r="AA576" s="18"/>
      <c r="AB576" s="18"/>
    </row>
    <row r="577" spans="1:28" ht="12.5" customHeight="1">
      <c r="A577" s="19">
        <v>576</v>
      </c>
      <c r="B577" s="36" t="s">
        <v>2741</v>
      </c>
      <c r="C577" s="36" t="s">
        <v>2677</v>
      </c>
      <c r="D577" s="40" t="s">
        <v>2742</v>
      </c>
      <c r="E577" s="36" t="s">
        <v>2743</v>
      </c>
      <c r="F577" s="36" t="s">
        <v>2724</v>
      </c>
      <c r="G577" s="36">
        <v>2015</v>
      </c>
      <c r="H577" s="36" t="s">
        <v>2691</v>
      </c>
      <c r="I577" s="36" t="str">
        <f t="shared" si="4"/>
        <v>Middle</v>
      </c>
      <c r="J577" s="36" t="str">
        <f t="shared" si="5"/>
        <v>Yes</v>
      </c>
      <c r="K577" s="36"/>
      <c r="L577" s="36"/>
      <c r="M577" s="18"/>
      <c r="N577" s="18"/>
      <c r="O577" s="18"/>
      <c r="P577" s="18"/>
      <c r="Q577" s="18"/>
      <c r="R577" s="18"/>
      <c r="S577" s="18"/>
      <c r="T577" s="18"/>
      <c r="U577" s="18"/>
      <c r="V577" s="18"/>
      <c r="W577" s="18"/>
      <c r="X577" s="18"/>
      <c r="Y577" s="18"/>
      <c r="Z577" s="18"/>
      <c r="AA577" s="18"/>
      <c r="AB577" s="18"/>
    </row>
    <row r="578" spans="1:28" ht="12.5" customHeight="1">
      <c r="A578" s="19">
        <v>577</v>
      </c>
      <c r="B578" s="36" t="s">
        <v>2744</v>
      </c>
      <c r="C578" s="36" t="s">
        <v>2677</v>
      </c>
      <c r="D578" s="40" t="s">
        <v>2745</v>
      </c>
      <c r="E578" s="36" t="s">
        <v>2746</v>
      </c>
      <c r="F578" s="36" t="s">
        <v>2747</v>
      </c>
      <c r="G578" s="36">
        <v>2016</v>
      </c>
      <c r="H578" s="36" t="s">
        <v>2748</v>
      </c>
      <c r="I578" s="36" t="str">
        <f t="shared" si="4"/>
        <v>Middle</v>
      </c>
      <c r="J578" s="36" t="str">
        <f t="shared" si="5"/>
        <v>Yes</v>
      </c>
      <c r="K578" s="36"/>
      <c r="L578" s="36"/>
      <c r="M578" s="18"/>
      <c r="N578" s="18"/>
      <c r="O578" s="18"/>
      <c r="P578" s="18"/>
      <c r="Q578" s="18"/>
      <c r="R578" s="18"/>
      <c r="S578" s="18"/>
      <c r="T578" s="18"/>
      <c r="U578" s="18"/>
      <c r="V578" s="18"/>
      <c r="W578" s="18"/>
      <c r="X578" s="18"/>
      <c r="Y578" s="18"/>
      <c r="Z578" s="18"/>
      <c r="AA578" s="18"/>
      <c r="AB578" s="18"/>
    </row>
    <row r="579" spans="1:28" ht="12.5" customHeight="1">
      <c r="A579" s="19">
        <v>578</v>
      </c>
      <c r="B579" s="36" t="s">
        <v>2749</v>
      </c>
      <c r="C579" s="36" t="s">
        <v>2677</v>
      </c>
      <c r="D579" s="40" t="s">
        <v>2750</v>
      </c>
      <c r="E579" s="36" t="s">
        <v>2751</v>
      </c>
      <c r="F579" s="36" t="s">
        <v>1648</v>
      </c>
      <c r="G579" s="36">
        <v>2015</v>
      </c>
      <c r="H579" s="36" t="s">
        <v>2752</v>
      </c>
      <c r="I579" s="36" t="str">
        <f t="shared" si="4"/>
        <v>Middle</v>
      </c>
      <c r="J579" s="36" t="str">
        <f t="shared" si="5"/>
        <v>Yes</v>
      </c>
      <c r="K579" s="36"/>
      <c r="L579" s="36"/>
      <c r="M579" s="18"/>
      <c r="N579" s="18"/>
      <c r="O579" s="18"/>
      <c r="P579" s="18"/>
      <c r="Q579" s="18"/>
      <c r="R579" s="18"/>
      <c r="S579" s="18"/>
      <c r="T579" s="18"/>
      <c r="U579" s="18"/>
      <c r="V579" s="18"/>
      <c r="W579" s="18"/>
      <c r="X579" s="18"/>
      <c r="Y579" s="18"/>
      <c r="Z579" s="18"/>
      <c r="AA579" s="18"/>
      <c r="AB579" s="18"/>
    </row>
    <row r="580" spans="1:28" ht="12.5" customHeight="1">
      <c r="A580" s="19">
        <v>579</v>
      </c>
      <c r="B580" s="36" t="s">
        <v>2753</v>
      </c>
      <c r="C580" s="36" t="s">
        <v>2677</v>
      </c>
      <c r="D580" s="40" t="s">
        <v>2754</v>
      </c>
      <c r="E580" s="36" t="s">
        <v>2755</v>
      </c>
      <c r="F580" s="36" t="s">
        <v>2756</v>
      </c>
      <c r="G580" s="36">
        <v>2011</v>
      </c>
      <c r="H580" s="36" t="s">
        <v>2752</v>
      </c>
      <c r="I580" s="36" t="str">
        <f t="shared" si="4"/>
        <v>Middle</v>
      </c>
      <c r="J580" s="36" t="str">
        <f t="shared" si="5"/>
        <v>Yes</v>
      </c>
      <c r="K580" s="36"/>
      <c r="L580" s="36"/>
      <c r="M580" s="18"/>
      <c r="N580" s="18"/>
      <c r="O580" s="18"/>
      <c r="P580" s="18"/>
      <c r="Q580" s="18"/>
      <c r="R580" s="18"/>
      <c r="S580" s="18"/>
      <c r="T580" s="18"/>
      <c r="U580" s="18"/>
      <c r="V580" s="18"/>
      <c r="W580" s="18"/>
      <c r="X580" s="18"/>
      <c r="Y580" s="18"/>
      <c r="Z580" s="18"/>
      <c r="AA580" s="18"/>
      <c r="AB580" s="18"/>
    </row>
    <row r="581" spans="1:28" ht="12.5" customHeight="1">
      <c r="A581" s="19">
        <v>580</v>
      </c>
      <c r="B581" s="36" t="s">
        <v>2757</v>
      </c>
      <c r="C581" s="36" t="s">
        <v>2677</v>
      </c>
      <c r="D581" s="40" t="s">
        <v>2758</v>
      </c>
      <c r="E581" s="36" t="s">
        <v>2759</v>
      </c>
      <c r="F581" s="36" t="s">
        <v>2760</v>
      </c>
      <c r="G581" s="36">
        <v>2009</v>
      </c>
      <c r="H581" s="36" t="s">
        <v>2730</v>
      </c>
      <c r="I581" s="36" t="str">
        <f t="shared" si="4"/>
        <v>Early</v>
      </c>
      <c r="J581" s="36" t="str">
        <f t="shared" si="5"/>
        <v>Yes</v>
      </c>
      <c r="K581" s="36"/>
      <c r="L581" s="36"/>
      <c r="M581" s="18"/>
      <c r="N581" s="18"/>
      <c r="O581" s="18"/>
      <c r="P581" s="18"/>
      <c r="Q581" s="18"/>
      <c r="R581" s="18"/>
      <c r="S581" s="18"/>
      <c r="T581" s="18"/>
      <c r="U581" s="18"/>
      <c r="V581" s="18"/>
      <c r="W581" s="18"/>
      <c r="X581" s="18"/>
      <c r="Y581" s="18"/>
      <c r="Z581" s="18"/>
      <c r="AA581" s="18"/>
      <c r="AB581" s="18"/>
    </row>
    <row r="582" spans="1:28" ht="12.5" customHeight="1">
      <c r="A582" s="19">
        <v>581</v>
      </c>
      <c r="B582" s="36" t="s">
        <v>2761</v>
      </c>
      <c r="C582" s="36" t="s">
        <v>2677</v>
      </c>
      <c r="D582" s="40" t="s">
        <v>2762</v>
      </c>
      <c r="E582" s="36" t="s">
        <v>2763</v>
      </c>
      <c r="F582" s="36" t="s">
        <v>730</v>
      </c>
      <c r="G582" s="36">
        <v>2009</v>
      </c>
      <c r="H582" s="36" t="s">
        <v>2752</v>
      </c>
      <c r="I582" s="36" t="str">
        <f t="shared" si="4"/>
        <v>Early</v>
      </c>
      <c r="J582" s="36" t="str">
        <f t="shared" si="5"/>
        <v>Yes</v>
      </c>
      <c r="K582" s="36"/>
      <c r="L582" s="36"/>
      <c r="M582" s="18"/>
      <c r="N582" s="18"/>
      <c r="O582" s="18"/>
      <c r="P582" s="18"/>
      <c r="Q582" s="18"/>
      <c r="R582" s="18"/>
      <c r="S582" s="18"/>
      <c r="T582" s="18"/>
      <c r="U582" s="18"/>
      <c r="V582" s="18"/>
      <c r="W582" s="18"/>
      <c r="X582" s="18"/>
      <c r="Y582" s="18"/>
      <c r="Z582" s="18"/>
      <c r="AA582" s="18"/>
      <c r="AB582" s="18"/>
    </row>
    <row r="583" spans="1:28" ht="12.5" customHeight="1">
      <c r="A583" s="19">
        <v>582</v>
      </c>
      <c r="B583" s="36" t="s">
        <v>2764</v>
      </c>
      <c r="C583" s="36" t="s">
        <v>2677</v>
      </c>
      <c r="D583" s="40" t="s">
        <v>2765</v>
      </c>
      <c r="E583" s="36" t="s">
        <v>2766</v>
      </c>
      <c r="F583" s="36" t="s">
        <v>2767</v>
      </c>
      <c r="G583" s="36">
        <v>2008</v>
      </c>
      <c r="H583" s="36" t="s">
        <v>2768</v>
      </c>
      <c r="I583" s="36" t="str">
        <f t="shared" si="4"/>
        <v>Early</v>
      </c>
      <c r="J583" s="36" t="str">
        <f t="shared" si="5"/>
        <v>Yes</v>
      </c>
      <c r="K583" s="36"/>
      <c r="L583" s="36"/>
      <c r="M583" s="18"/>
      <c r="N583" s="18"/>
      <c r="O583" s="18"/>
      <c r="P583" s="18"/>
      <c r="Q583" s="18"/>
      <c r="R583" s="18"/>
      <c r="S583" s="18"/>
      <c r="T583" s="18"/>
      <c r="U583" s="18"/>
      <c r="V583" s="18"/>
      <c r="W583" s="18"/>
      <c r="X583" s="18"/>
      <c r="Y583" s="18"/>
      <c r="Z583" s="18"/>
      <c r="AA583" s="18"/>
      <c r="AB583" s="18"/>
    </row>
    <row r="584" spans="1:28" ht="12.5" customHeight="1">
      <c r="A584" s="19">
        <v>583</v>
      </c>
      <c r="B584" s="36" t="s">
        <v>2769</v>
      </c>
      <c r="C584" s="36" t="s">
        <v>2677</v>
      </c>
      <c r="D584" s="40" t="s">
        <v>2770</v>
      </c>
      <c r="E584" s="36" t="s">
        <v>2771</v>
      </c>
      <c r="F584" s="36" t="s">
        <v>1648</v>
      </c>
      <c r="G584" s="36">
        <v>2004</v>
      </c>
      <c r="H584" s="36" t="s">
        <v>2772</v>
      </c>
      <c r="I584" s="36" t="str">
        <f t="shared" si="4"/>
        <v>Early</v>
      </c>
      <c r="J584" s="36" t="str">
        <f t="shared" si="5"/>
        <v>Yes</v>
      </c>
      <c r="K584" s="36"/>
      <c r="L584" s="36"/>
      <c r="M584" s="18"/>
      <c r="N584" s="18"/>
      <c r="O584" s="18"/>
      <c r="P584" s="18"/>
      <c r="Q584" s="18"/>
      <c r="R584" s="18"/>
      <c r="S584" s="18"/>
      <c r="T584" s="18"/>
      <c r="U584" s="18"/>
      <c r="V584" s="18"/>
      <c r="W584" s="18"/>
      <c r="X584" s="18"/>
      <c r="Y584" s="18"/>
      <c r="Z584" s="18"/>
      <c r="AA584" s="18"/>
      <c r="AB584" s="18"/>
    </row>
    <row r="585" spans="1:28" ht="12.5" customHeight="1">
      <c r="A585" s="19">
        <v>584</v>
      </c>
      <c r="B585" s="36" t="s">
        <v>2773</v>
      </c>
      <c r="C585" s="36" t="s">
        <v>2677</v>
      </c>
      <c r="D585" s="40" t="s">
        <v>2774</v>
      </c>
      <c r="E585" s="36" t="s">
        <v>2775</v>
      </c>
      <c r="F585" s="36" t="s">
        <v>2776</v>
      </c>
      <c r="G585" s="36">
        <v>2017</v>
      </c>
      <c r="H585" s="36" t="s">
        <v>2777</v>
      </c>
      <c r="I585" s="36" t="str">
        <f t="shared" si="4"/>
        <v>Middle</v>
      </c>
      <c r="J585" s="36" t="str">
        <f t="shared" si="5"/>
        <v>Yes</v>
      </c>
      <c r="K585" s="36"/>
      <c r="L585" s="36"/>
      <c r="M585" s="18"/>
      <c r="N585" s="18"/>
      <c r="O585" s="18"/>
      <c r="P585" s="18"/>
      <c r="Q585" s="18"/>
      <c r="R585" s="18"/>
      <c r="S585" s="18"/>
      <c r="T585" s="18"/>
      <c r="U585" s="18"/>
      <c r="V585" s="18"/>
      <c r="W585" s="18"/>
      <c r="X585" s="18"/>
      <c r="Y585" s="18"/>
      <c r="Z585" s="18"/>
      <c r="AA585" s="18"/>
      <c r="AB585" s="18"/>
    </row>
    <row r="586" spans="1:28" ht="12.5" customHeight="1">
      <c r="A586" s="19">
        <v>585</v>
      </c>
      <c r="B586" s="36" t="s">
        <v>2778</v>
      </c>
      <c r="C586" s="36" t="s">
        <v>2677</v>
      </c>
      <c r="D586" s="40" t="s">
        <v>2779</v>
      </c>
      <c r="E586" s="36" t="s">
        <v>2780</v>
      </c>
      <c r="F586" s="36" t="s">
        <v>2781</v>
      </c>
      <c r="G586" s="36">
        <v>2017</v>
      </c>
      <c r="H586" s="36" t="s">
        <v>2782</v>
      </c>
      <c r="I586" s="36" t="str">
        <f t="shared" si="4"/>
        <v>Middle</v>
      </c>
      <c r="J586" s="36" t="str">
        <f t="shared" si="5"/>
        <v>Yes</v>
      </c>
      <c r="K586" s="36"/>
      <c r="L586" s="36"/>
      <c r="M586" s="18"/>
      <c r="N586" s="18"/>
      <c r="O586" s="18"/>
      <c r="P586" s="18"/>
      <c r="Q586" s="18"/>
      <c r="R586" s="18"/>
      <c r="S586" s="18"/>
      <c r="T586" s="18"/>
      <c r="U586" s="18"/>
      <c r="V586" s="18"/>
      <c r="W586" s="18"/>
      <c r="X586" s="18"/>
      <c r="Y586" s="18"/>
      <c r="Z586" s="18"/>
      <c r="AA586" s="18"/>
      <c r="AB586" s="18"/>
    </row>
    <row r="587" spans="1:28" ht="12.5" customHeight="1">
      <c r="A587" s="19">
        <v>586</v>
      </c>
      <c r="B587" s="36" t="s">
        <v>2783</v>
      </c>
      <c r="C587" s="36" t="s">
        <v>2677</v>
      </c>
      <c r="D587" s="40" t="s">
        <v>2784</v>
      </c>
      <c r="E587" s="36" t="s">
        <v>2785</v>
      </c>
      <c r="F587" s="36" t="s">
        <v>2786</v>
      </c>
      <c r="G587" s="36">
        <v>2016</v>
      </c>
      <c r="H587" s="36" t="s">
        <v>2787</v>
      </c>
      <c r="I587" s="36" t="str">
        <f t="shared" si="4"/>
        <v>Middle</v>
      </c>
      <c r="J587" s="36" t="str">
        <f t="shared" si="5"/>
        <v>Yes</v>
      </c>
      <c r="K587" s="36"/>
      <c r="L587" s="36"/>
      <c r="M587" s="18"/>
      <c r="N587" s="18"/>
      <c r="O587" s="18"/>
      <c r="P587" s="18"/>
      <c r="Q587" s="18"/>
      <c r="R587" s="18"/>
      <c r="S587" s="18"/>
      <c r="T587" s="18"/>
      <c r="U587" s="18"/>
      <c r="V587" s="18"/>
      <c r="W587" s="18"/>
      <c r="X587" s="18"/>
      <c r="Y587" s="18"/>
      <c r="Z587" s="18"/>
      <c r="AA587" s="18"/>
      <c r="AB587" s="18"/>
    </row>
    <row r="588" spans="1:28" ht="12.5" customHeight="1">
      <c r="A588" s="19">
        <v>587</v>
      </c>
      <c r="B588" s="36" t="s">
        <v>2788</v>
      </c>
      <c r="C588" s="36" t="s">
        <v>2677</v>
      </c>
      <c r="D588" s="40" t="s">
        <v>2789</v>
      </c>
      <c r="E588" s="36" t="s">
        <v>2790</v>
      </c>
      <c r="F588" s="36" t="s">
        <v>2791</v>
      </c>
      <c r="G588" s="36">
        <v>2014</v>
      </c>
      <c r="H588" s="36" t="s">
        <v>2792</v>
      </c>
      <c r="I588" s="36" t="str">
        <f t="shared" si="4"/>
        <v>Middle</v>
      </c>
      <c r="J588" s="36" t="str">
        <f t="shared" si="5"/>
        <v>Yes</v>
      </c>
      <c r="K588" s="36"/>
      <c r="L588" s="36"/>
      <c r="M588" s="18"/>
      <c r="N588" s="18"/>
      <c r="O588" s="18"/>
      <c r="P588" s="18"/>
      <c r="Q588" s="18"/>
      <c r="R588" s="18"/>
      <c r="S588" s="18"/>
      <c r="T588" s="18"/>
      <c r="U588" s="18"/>
      <c r="V588" s="18"/>
      <c r="W588" s="18"/>
      <c r="X588" s="18"/>
      <c r="Y588" s="18"/>
      <c r="Z588" s="18"/>
      <c r="AA588" s="18"/>
      <c r="AB588" s="18"/>
    </row>
    <row r="589" spans="1:28" ht="12.5" customHeight="1">
      <c r="A589" s="19">
        <v>588</v>
      </c>
      <c r="B589" s="36" t="s">
        <v>2793</v>
      </c>
      <c r="C589" s="36" t="s">
        <v>2677</v>
      </c>
      <c r="D589" s="40" t="s">
        <v>2794</v>
      </c>
      <c r="E589" s="36" t="s">
        <v>2795</v>
      </c>
      <c r="F589" s="36" t="s">
        <v>524</v>
      </c>
      <c r="G589" s="36">
        <v>2014</v>
      </c>
      <c r="H589" s="36" t="s">
        <v>2777</v>
      </c>
      <c r="I589" s="36" t="str">
        <f t="shared" si="4"/>
        <v>Middle</v>
      </c>
      <c r="J589" s="36" t="str">
        <f t="shared" si="5"/>
        <v>Yes</v>
      </c>
      <c r="K589" s="36"/>
      <c r="L589" s="36"/>
      <c r="M589" s="18"/>
      <c r="N589" s="18"/>
      <c r="O589" s="18"/>
      <c r="P589" s="18"/>
      <c r="Q589" s="18"/>
      <c r="R589" s="18"/>
      <c r="S589" s="18"/>
      <c r="T589" s="18"/>
      <c r="U589" s="18"/>
      <c r="V589" s="18"/>
      <c r="W589" s="18"/>
      <c r="X589" s="18"/>
      <c r="Y589" s="18"/>
      <c r="Z589" s="18"/>
      <c r="AA589" s="18"/>
      <c r="AB589" s="18"/>
    </row>
    <row r="590" spans="1:28" ht="12.5" customHeight="1">
      <c r="A590" s="19">
        <v>589</v>
      </c>
      <c r="B590" s="36" t="s">
        <v>2796</v>
      </c>
      <c r="C590" s="36" t="s">
        <v>2677</v>
      </c>
      <c r="D590" s="40" t="s">
        <v>2797</v>
      </c>
      <c r="E590" s="36" t="s">
        <v>2798</v>
      </c>
      <c r="F590" s="36" t="s">
        <v>2799</v>
      </c>
      <c r="G590" s="36">
        <v>2014</v>
      </c>
      <c r="H590" s="36" t="s">
        <v>2800</v>
      </c>
      <c r="I590" s="36" t="str">
        <f t="shared" si="4"/>
        <v>Middle</v>
      </c>
      <c r="J590" s="36" t="str">
        <f t="shared" si="5"/>
        <v>Yes</v>
      </c>
      <c r="K590" s="36"/>
      <c r="L590" s="36"/>
      <c r="M590" s="18"/>
      <c r="N590" s="18"/>
      <c r="O590" s="18"/>
      <c r="P590" s="18"/>
      <c r="Q590" s="18"/>
      <c r="R590" s="18"/>
      <c r="S590" s="18"/>
      <c r="T590" s="18"/>
      <c r="U590" s="18"/>
      <c r="V590" s="18"/>
      <c r="W590" s="18"/>
      <c r="X590" s="18"/>
      <c r="Y590" s="18"/>
      <c r="Z590" s="18"/>
      <c r="AA590" s="18"/>
      <c r="AB590" s="18"/>
    </row>
    <row r="591" spans="1:28" ht="12.5" customHeight="1">
      <c r="A591" s="19">
        <v>590</v>
      </c>
      <c r="B591" s="36" t="s">
        <v>2801</v>
      </c>
      <c r="C591" s="36" t="s">
        <v>2677</v>
      </c>
      <c r="D591" s="40" t="s">
        <v>2802</v>
      </c>
      <c r="E591" s="36" t="s">
        <v>2803</v>
      </c>
      <c r="F591" s="36" t="s">
        <v>2804</v>
      </c>
      <c r="G591" s="36">
        <v>2014</v>
      </c>
      <c r="H591" s="36" t="s">
        <v>2805</v>
      </c>
      <c r="I591" s="36" t="str">
        <f t="shared" si="4"/>
        <v>Middle</v>
      </c>
      <c r="J591" s="36" t="str">
        <f t="shared" si="5"/>
        <v>Yes</v>
      </c>
      <c r="K591" s="36"/>
      <c r="L591" s="36"/>
      <c r="M591" s="18"/>
      <c r="N591" s="18"/>
      <c r="O591" s="18"/>
      <c r="P591" s="18"/>
      <c r="Q591" s="18"/>
      <c r="R591" s="18"/>
      <c r="S591" s="18"/>
      <c r="T591" s="18"/>
      <c r="U591" s="18"/>
      <c r="V591" s="18"/>
      <c r="W591" s="18"/>
      <c r="X591" s="18"/>
      <c r="Y591" s="18"/>
      <c r="Z591" s="18"/>
      <c r="AA591" s="18"/>
      <c r="AB591" s="18"/>
    </row>
    <row r="592" spans="1:28" ht="12.5" customHeight="1">
      <c r="A592" s="19">
        <v>591</v>
      </c>
      <c r="B592" s="36" t="s">
        <v>2806</v>
      </c>
      <c r="C592" s="36" t="s">
        <v>2677</v>
      </c>
      <c r="D592" s="40" t="s">
        <v>2807</v>
      </c>
      <c r="E592" s="36" t="s">
        <v>2808</v>
      </c>
      <c r="F592" s="36" t="s">
        <v>2809</v>
      </c>
      <c r="G592" s="36">
        <v>2013</v>
      </c>
      <c r="H592" s="36" t="s">
        <v>2810</v>
      </c>
      <c r="I592" s="36" t="str">
        <f t="shared" si="4"/>
        <v>Middle</v>
      </c>
      <c r="J592" s="36" t="str">
        <f t="shared" si="5"/>
        <v>Yes</v>
      </c>
      <c r="K592" s="36"/>
      <c r="L592" s="36"/>
      <c r="M592" s="18"/>
      <c r="N592" s="18"/>
      <c r="O592" s="18"/>
      <c r="P592" s="18"/>
      <c r="Q592" s="18"/>
      <c r="R592" s="18"/>
      <c r="S592" s="18"/>
      <c r="T592" s="18"/>
      <c r="U592" s="18"/>
      <c r="V592" s="18"/>
      <c r="W592" s="18"/>
      <c r="X592" s="18"/>
      <c r="Y592" s="18"/>
      <c r="Z592" s="18"/>
      <c r="AA592" s="18"/>
      <c r="AB592" s="18"/>
    </row>
    <row r="593" spans="1:28" ht="12.5" customHeight="1">
      <c r="A593" s="19">
        <v>592</v>
      </c>
      <c r="B593" s="36" t="s">
        <v>2811</v>
      </c>
      <c r="C593" s="36" t="s">
        <v>2677</v>
      </c>
      <c r="D593" s="40" t="s">
        <v>2812</v>
      </c>
      <c r="E593" s="36" t="s">
        <v>2813</v>
      </c>
      <c r="F593" s="36" t="s">
        <v>2814</v>
      </c>
      <c r="G593" s="36">
        <v>2012</v>
      </c>
      <c r="H593" s="36" t="s">
        <v>2815</v>
      </c>
      <c r="I593" s="36" t="str">
        <f t="shared" si="4"/>
        <v>Middle</v>
      </c>
      <c r="J593" s="36" t="str">
        <f t="shared" si="5"/>
        <v>Yes</v>
      </c>
      <c r="K593" s="36"/>
      <c r="L593" s="36"/>
      <c r="M593" s="18"/>
      <c r="N593" s="18"/>
      <c r="O593" s="18"/>
      <c r="P593" s="18"/>
      <c r="Q593" s="18"/>
      <c r="R593" s="18"/>
      <c r="S593" s="18"/>
      <c r="T593" s="18"/>
      <c r="U593" s="18"/>
      <c r="V593" s="18"/>
      <c r="W593" s="18"/>
      <c r="X593" s="18"/>
      <c r="Y593" s="18"/>
      <c r="Z593" s="18"/>
      <c r="AA593" s="18"/>
      <c r="AB593" s="18"/>
    </row>
    <row r="594" spans="1:28" ht="12.5" customHeight="1">
      <c r="A594" s="19">
        <v>593</v>
      </c>
      <c r="B594" s="36" t="s">
        <v>2816</v>
      </c>
      <c r="C594" s="36" t="s">
        <v>2677</v>
      </c>
      <c r="D594" s="40" t="s">
        <v>2817</v>
      </c>
      <c r="E594" s="36" t="s">
        <v>2818</v>
      </c>
      <c r="F594" s="36" t="s">
        <v>1688</v>
      </c>
      <c r="G594" s="36">
        <v>2011</v>
      </c>
      <c r="H594" s="36" t="s">
        <v>2819</v>
      </c>
      <c r="I594" s="36" t="str">
        <f t="shared" si="4"/>
        <v>Middle</v>
      </c>
      <c r="J594" s="36" t="str">
        <f t="shared" si="5"/>
        <v>Yes</v>
      </c>
      <c r="K594" s="36"/>
      <c r="L594" s="36"/>
      <c r="M594" s="18"/>
      <c r="N594" s="18"/>
      <c r="O594" s="18"/>
      <c r="P594" s="18"/>
      <c r="Q594" s="18"/>
      <c r="R594" s="18"/>
      <c r="S594" s="18"/>
      <c r="T594" s="18"/>
      <c r="U594" s="18"/>
      <c r="V594" s="18"/>
      <c r="W594" s="18"/>
      <c r="X594" s="18"/>
      <c r="Y594" s="18"/>
      <c r="Z594" s="18"/>
      <c r="AA594" s="18"/>
      <c r="AB594" s="18"/>
    </row>
    <row r="595" spans="1:28" ht="12.5" customHeight="1">
      <c r="A595" s="19">
        <v>594</v>
      </c>
      <c r="B595" s="36" t="s">
        <v>2820</v>
      </c>
      <c r="C595" s="36" t="s">
        <v>2677</v>
      </c>
      <c r="D595" s="40" t="s">
        <v>2821</v>
      </c>
      <c r="E595" s="36" t="s">
        <v>2822</v>
      </c>
      <c r="F595" s="36" t="s">
        <v>476</v>
      </c>
      <c r="G595" s="36">
        <v>2010</v>
      </c>
      <c r="H595" s="36" t="s">
        <v>2823</v>
      </c>
      <c r="I595" s="36" t="str">
        <f t="shared" si="4"/>
        <v>Middle</v>
      </c>
      <c r="J595" s="36" t="str">
        <f t="shared" si="5"/>
        <v>Yes</v>
      </c>
      <c r="K595" s="36"/>
      <c r="L595" s="36"/>
      <c r="M595" s="18"/>
      <c r="N595" s="18"/>
      <c r="O595" s="18"/>
      <c r="P595" s="18"/>
      <c r="Q595" s="18"/>
      <c r="R595" s="18"/>
      <c r="S595" s="18"/>
      <c r="T595" s="18"/>
      <c r="U595" s="18"/>
      <c r="V595" s="18"/>
      <c r="W595" s="18"/>
      <c r="X595" s="18"/>
      <c r="Y595" s="18"/>
      <c r="Z595" s="18"/>
      <c r="AA595" s="18"/>
      <c r="AB595" s="18"/>
    </row>
    <row r="596" spans="1:28" ht="12.5" customHeight="1">
      <c r="A596" s="19">
        <v>595</v>
      </c>
      <c r="B596" s="36" t="s">
        <v>2824</v>
      </c>
      <c r="C596" s="36" t="s">
        <v>2677</v>
      </c>
      <c r="D596" s="40" t="s">
        <v>2825</v>
      </c>
      <c r="E596" s="36" t="s">
        <v>2826</v>
      </c>
      <c r="F596" s="36" t="s">
        <v>2827</v>
      </c>
      <c r="G596" s="36">
        <v>2009</v>
      </c>
      <c r="H596" s="36" t="s">
        <v>2748</v>
      </c>
      <c r="I596" s="36" t="str">
        <f t="shared" si="4"/>
        <v>Early</v>
      </c>
      <c r="J596" s="36" t="str">
        <f t="shared" si="5"/>
        <v>Yes</v>
      </c>
      <c r="K596" s="36"/>
      <c r="L596" s="36"/>
      <c r="M596" s="18"/>
      <c r="N596" s="18"/>
      <c r="O596" s="18"/>
      <c r="P596" s="18"/>
      <c r="Q596" s="18"/>
      <c r="R596" s="18"/>
      <c r="S596" s="18"/>
      <c r="T596" s="18"/>
      <c r="U596" s="18"/>
      <c r="V596" s="18"/>
      <c r="W596" s="18"/>
      <c r="X596" s="18"/>
      <c r="Y596" s="18"/>
      <c r="Z596" s="18"/>
      <c r="AA596" s="18"/>
      <c r="AB596" s="18"/>
    </row>
    <row r="597" spans="1:28" ht="12.5" customHeight="1">
      <c r="A597" s="19">
        <v>596</v>
      </c>
      <c r="B597" s="36" t="s">
        <v>2828</v>
      </c>
      <c r="C597" s="36" t="s">
        <v>2677</v>
      </c>
      <c r="D597" s="40" t="s">
        <v>2829</v>
      </c>
      <c r="E597" s="36" t="s">
        <v>2830</v>
      </c>
      <c r="F597" s="36" t="s">
        <v>524</v>
      </c>
      <c r="G597" s="36">
        <v>2007</v>
      </c>
      <c r="H597" s="36" t="s">
        <v>2831</v>
      </c>
      <c r="I597" s="36" t="str">
        <f t="shared" si="4"/>
        <v>Early</v>
      </c>
      <c r="J597" s="36" t="str">
        <f t="shared" si="5"/>
        <v>Yes</v>
      </c>
      <c r="K597" s="36"/>
      <c r="L597" s="36"/>
      <c r="M597" s="18"/>
      <c r="N597" s="18"/>
      <c r="O597" s="18"/>
      <c r="P597" s="18"/>
      <c r="Q597" s="18"/>
      <c r="R597" s="18"/>
      <c r="S597" s="18"/>
      <c r="T597" s="18"/>
      <c r="U597" s="18"/>
      <c r="V597" s="18"/>
      <c r="W597" s="18"/>
      <c r="X597" s="18"/>
      <c r="Y597" s="18"/>
      <c r="Z597" s="18"/>
      <c r="AA597" s="18"/>
      <c r="AB597" s="18"/>
    </row>
    <row r="598" spans="1:28" ht="12.5" customHeight="1">
      <c r="A598" s="19">
        <v>597</v>
      </c>
      <c r="B598" s="36" t="s">
        <v>2832</v>
      </c>
      <c r="C598" s="36" t="s">
        <v>2677</v>
      </c>
      <c r="D598" s="40" t="s">
        <v>2833</v>
      </c>
      <c r="E598" s="36" t="s">
        <v>2834</v>
      </c>
      <c r="F598" s="36" t="s">
        <v>2835</v>
      </c>
      <c r="G598" s="36">
        <v>2003</v>
      </c>
      <c r="H598" s="36" t="s">
        <v>2730</v>
      </c>
      <c r="I598" s="36" t="str">
        <f t="shared" si="4"/>
        <v>Early</v>
      </c>
      <c r="J598" s="36" t="str">
        <f t="shared" si="5"/>
        <v>Yes</v>
      </c>
      <c r="K598" s="36"/>
      <c r="L598" s="36"/>
      <c r="M598" s="18"/>
      <c r="N598" s="18"/>
      <c r="O598" s="18"/>
      <c r="P598" s="18"/>
      <c r="Q598" s="18"/>
      <c r="R598" s="18"/>
      <c r="S598" s="18"/>
      <c r="T598" s="18"/>
      <c r="U598" s="18"/>
      <c r="V598" s="18"/>
      <c r="W598" s="18"/>
      <c r="X598" s="18"/>
      <c r="Y598" s="18"/>
      <c r="Z598" s="18"/>
      <c r="AA598" s="18"/>
      <c r="AB598" s="18"/>
    </row>
    <row r="599" spans="1:28" ht="12.5" customHeight="1">
      <c r="A599" s="19">
        <v>598</v>
      </c>
      <c r="B599" s="36" t="s">
        <v>2836</v>
      </c>
      <c r="C599" s="36" t="s">
        <v>2677</v>
      </c>
      <c r="D599" s="40" t="s">
        <v>2837</v>
      </c>
      <c r="E599" s="36" t="s">
        <v>2838</v>
      </c>
      <c r="F599" s="36" t="s">
        <v>2839</v>
      </c>
      <c r="G599" s="36">
        <v>2003</v>
      </c>
      <c r="H599" s="36" t="s">
        <v>2730</v>
      </c>
      <c r="I599" s="36" t="str">
        <f t="shared" si="4"/>
        <v>Early</v>
      </c>
      <c r="J599" s="36" t="str">
        <f t="shared" si="5"/>
        <v>Yes</v>
      </c>
      <c r="K599" s="36"/>
      <c r="L599" s="36"/>
      <c r="M599" s="18"/>
      <c r="N599" s="18"/>
      <c r="O599" s="18"/>
      <c r="P599" s="18"/>
      <c r="Q599" s="18"/>
      <c r="R599" s="18"/>
      <c r="S599" s="18"/>
      <c r="T599" s="18"/>
      <c r="U599" s="18"/>
      <c r="V599" s="18"/>
      <c r="W599" s="18"/>
      <c r="X599" s="18"/>
      <c r="Y599" s="18"/>
      <c r="Z599" s="18"/>
      <c r="AA599" s="18"/>
      <c r="AB599" s="18"/>
    </row>
    <row r="600" spans="1:28" ht="12.5" customHeight="1">
      <c r="A600" s="19">
        <v>599</v>
      </c>
      <c r="B600" s="36" t="s">
        <v>2840</v>
      </c>
      <c r="C600" s="36" t="s">
        <v>2677</v>
      </c>
      <c r="D600" s="40" t="s">
        <v>2841</v>
      </c>
      <c r="E600" s="36" t="s">
        <v>2842</v>
      </c>
      <c r="F600" s="36" t="s">
        <v>2843</v>
      </c>
      <c r="G600" s="36">
        <v>2019</v>
      </c>
      <c r="H600" s="36" t="s">
        <v>2701</v>
      </c>
      <c r="I600" s="36" t="str">
        <f t="shared" si="4"/>
        <v>Recent</v>
      </c>
      <c r="J600" s="36" t="str">
        <f t="shared" si="5"/>
        <v>Yes</v>
      </c>
      <c r="K600" s="36"/>
      <c r="L600" s="36"/>
      <c r="M600" s="18"/>
      <c r="N600" s="18"/>
      <c r="O600" s="18"/>
      <c r="P600" s="18"/>
      <c r="Q600" s="18"/>
      <c r="R600" s="18"/>
      <c r="S600" s="18"/>
      <c r="T600" s="18"/>
      <c r="U600" s="18"/>
      <c r="V600" s="18"/>
      <c r="W600" s="18"/>
      <c r="X600" s="18"/>
      <c r="Y600" s="18"/>
      <c r="Z600" s="18"/>
      <c r="AA600" s="18"/>
      <c r="AB600" s="18"/>
    </row>
    <row r="601" spans="1:28" ht="12.5" customHeight="1">
      <c r="A601" s="19">
        <v>600</v>
      </c>
      <c r="B601" s="36" t="s">
        <v>2844</v>
      </c>
      <c r="C601" s="36" t="s">
        <v>2677</v>
      </c>
      <c r="D601" s="40" t="s">
        <v>2845</v>
      </c>
      <c r="E601" s="36" t="s">
        <v>2846</v>
      </c>
      <c r="F601" s="36" t="s">
        <v>524</v>
      </c>
      <c r="G601" s="36">
        <v>2019</v>
      </c>
      <c r="H601" s="36" t="s">
        <v>2847</v>
      </c>
      <c r="I601" s="36" t="str">
        <f t="shared" si="4"/>
        <v>Recent</v>
      </c>
      <c r="J601" s="36" t="str">
        <f t="shared" si="5"/>
        <v>Yes</v>
      </c>
      <c r="K601" s="36"/>
      <c r="L601" s="36"/>
      <c r="M601" s="18"/>
      <c r="N601" s="18"/>
      <c r="O601" s="18"/>
      <c r="P601" s="18"/>
      <c r="Q601" s="18"/>
      <c r="R601" s="18"/>
      <c r="S601" s="18"/>
      <c r="T601" s="18"/>
      <c r="U601" s="18"/>
      <c r="V601" s="18"/>
      <c r="W601" s="18"/>
      <c r="X601" s="18"/>
      <c r="Y601" s="18"/>
      <c r="Z601" s="18"/>
      <c r="AA601" s="18"/>
      <c r="AB601" s="18"/>
    </row>
    <row r="602" spans="1:28" ht="12.5" customHeight="1">
      <c r="A602" s="19">
        <v>601</v>
      </c>
      <c r="B602" s="36" t="s">
        <v>2848</v>
      </c>
      <c r="C602" s="36" t="s">
        <v>2677</v>
      </c>
      <c r="D602" s="40" t="s">
        <v>2849</v>
      </c>
      <c r="E602" s="36" t="s">
        <v>2850</v>
      </c>
      <c r="F602" s="36" t="s">
        <v>524</v>
      </c>
      <c r="G602" s="36">
        <v>2019</v>
      </c>
      <c r="H602" s="36" t="s">
        <v>2735</v>
      </c>
      <c r="I602" s="36" t="str">
        <f t="shared" si="4"/>
        <v>Recent</v>
      </c>
      <c r="J602" s="36" t="str">
        <f t="shared" si="5"/>
        <v>Yes</v>
      </c>
      <c r="K602" s="36"/>
      <c r="L602" s="36"/>
      <c r="M602" s="18"/>
      <c r="N602" s="18"/>
      <c r="O602" s="18"/>
      <c r="P602" s="18"/>
      <c r="Q602" s="18"/>
      <c r="R602" s="18"/>
      <c r="S602" s="18"/>
      <c r="T602" s="18"/>
      <c r="U602" s="18"/>
      <c r="V602" s="18"/>
      <c r="W602" s="18"/>
      <c r="X602" s="18"/>
      <c r="Y602" s="18"/>
      <c r="Z602" s="18"/>
      <c r="AA602" s="18"/>
      <c r="AB602" s="18"/>
    </row>
    <row r="603" spans="1:28" ht="12.5" customHeight="1">
      <c r="A603" s="19">
        <v>602</v>
      </c>
      <c r="B603" s="36" t="s">
        <v>2851</v>
      </c>
      <c r="C603" s="36" t="s">
        <v>2677</v>
      </c>
      <c r="D603" s="40" t="s">
        <v>2852</v>
      </c>
      <c r="E603" s="36" t="s">
        <v>2853</v>
      </c>
      <c r="F603" s="36" t="s">
        <v>2854</v>
      </c>
      <c r="G603" s="36">
        <v>2019</v>
      </c>
      <c r="H603" s="36" t="s">
        <v>2855</v>
      </c>
      <c r="I603" s="36" t="str">
        <f t="shared" si="4"/>
        <v>Recent</v>
      </c>
      <c r="J603" s="36" t="str">
        <f t="shared" si="5"/>
        <v>Yes</v>
      </c>
      <c r="K603" s="36"/>
      <c r="L603" s="36"/>
      <c r="M603" s="18"/>
      <c r="N603" s="18"/>
      <c r="O603" s="18"/>
      <c r="P603" s="18"/>
      <c r="Q603" s="18"/>
      <c r="R603" s="18"/>
      <c r="S603" s="18"/>
      <c r="T603" s="18"/>
      <c r="U603" s="18"/>
      <c r="V603" s="18"/>
      <c r="W603" s="18"/>
      <c r="X603" s="18"/>
      <c r="Y603" s="18"/>
      <c r="Z603" s="18"/>
      <c r="AA603" s="18"/>
      <c r="AB603" s="18"/>
    </row>
    <row r="604" spans="1:28" ht="12.5" customHeight="1">
      <c r="A604" s="19">
        <v>603</v>
      </c>
      <c r="B604" s="36" t="s">
        <v>2856</v>
      </c>
      <c r="C604" s="36" t="s">
        <v>2677</v>
      </c>
      <c r="D604" s="40" t="s">
        <v>2857</v>
      </c>
      <c r="E604" s="36" t="s">
        <v>2858</v>
      </c>
      <c r="F604" s="36" t="s">
        <v>2859</v>
      </c>
      <c r="G604" s="36">
        <v>2019</v>
      </c>
      <c r="H604" s="36" t="s">
        <v>2777</v>
      </c>
      <c r="I604" s="36" t="str">
        <f t="shared" si="4"/>
        <v>Recent</v>
      </c>
      <c r="J604" s="36" t="str">
        <f t="shared" si="5"/>
        <v>Yes</v>
      </c>
      <c r="K604" s="36"/>
      <c r="L604" s="36"/>
      <c r="M604" s="18"/>
      <c r="N604" s="18"/>
      <c r="O604" s="18"/>
      <c r="P604" s="18"/>
      <c r="Q604" s="18"/>
      <c r="R604" s="18"/>
      <c r="S604" s="18"/>
      <c r="T604" s="18"/>
      <c r="U604" s="18"/>
      <c r="V604" s="18"/>
      <c r="W604" s="18"/>
      <c r="X604" s="18"/>
      <c r="Y604" s="18"/>
      <c r="Z604" s="18"/>
      <c r="AA604" s="18"/>
      <c r="AB604" s="18"/>
    </row>
    <row r="605" spans="1:28" ht="12.5" customHeight="1">
      <c r="A605" s="19">
        <v>604</v>
      </c>
      <c r="B605" s="36" t="s">
        <v>2860</v>
      </c>
      <c r="C605" s="36" t="s">
        <v>2677</v>
      </c>
      <c r="D605" s="40" t="s">
        <v>2861</v>
      </c>
      <c r="E605" s="36" t="s">
        <v>2862</v>
      </c>
      <c r="F605" s="36" t="s">
        <v>2690</v>
      </c>
      <c r="G605" s="36">
        <v>2019</v>
      </c>
      <c r="H605" s="36" t="s">
        <v>2863</v>
      </c>
      <c r="I605" s="36" t="str">
        <f t="shared" si="4"/>
        <v>Recent</v>
      </c>
      <c r="J605" s="36" t="str">
        <f t="shared" si="5"/>
        <v>Yes</v>
      </c>
      <c r="K605" s="36"/>
      <c r="L605" s="36"/>
      <c r="M605" s="18"/>
      <c r="N605" s="18"/>
      <c r="O605" s="18"/>
      <c r="P605" s="18"/>
      <c r="Q605" s="18"/>
      <c r="R605" s="18"/>
      <c r="S605" s="18"/>
      <c r="T605" s="18"/>
      <c r="U605" s="18"/>
      <c r="V605" s="18"/>
      <c r="W605" s="18"/>
      <c r="X605" s="18"/>
      <c r="Y605" s="18"/>
      <c r="Z605" s="18"/>
      <c r="AA605" s="18"/>
      <c r="AB605" s="18"/>
    </row>
    <row r="606" spans="1:28" ht="1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spans="1:28" ht="1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spans="1:28" ht="1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row>
    <row r="609" spans="1:28" ht="1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spans="1:28" ht="1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row>
    <row r="611" spans="1:28" ht="1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spans="1:28" ht="1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row>
    <row r="613" spans="1:28" ht="1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spans="1:28" ht="1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row>
    <row r="615" spans="1:28" ht="1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spans="1:28" ht="1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spans="1:28" ht="1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spans="1:28" ht="1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spans="1:28" ht="1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spans="1:28" ht="1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row>
    <row r="621" spans="1:28" ht="1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spans="1:28" ht="1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row>
    <row r="623" spans="1:28" ht="1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spans="1:28" ht="1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row>
    <row r="625" spans="1:28" ht="1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spans="1:28" ht="1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spans="1:28" ht="1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spans="1:28" ht="1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spans="1:28" ht="1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spans="1:28" ht="1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row>
    <row r="631" spans="1:28" ht="1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spans="1:28" ht="1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row>
    <row r="633" spans="1:28" ht="1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spans="1:28" ht="1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row>
    <row r="635" spans="1:28" ht="1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spans="1:28" ht="1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row>
    <row r="637" spans="1:28" ht="1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spans="1:28" ht="1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spans="1:28" ht="1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spans="1:28" ht="1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spans="1:28" ht="1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spans="1:28" ht="1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row>
    <row r="643" spans="1:28" ht="1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spans="1:28" ht="1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row>
    <row r="645" spans="1:28" ht="1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spans="1:28" ht="1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row>
    <row r="647" spans="1:28" ht="1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spans="1:28" ht="1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row>
    <row r="649" spans="1:28" ht="1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spans="1:28" ht="1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row>
    <row r="651" spans="1:28" ht="1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spans="1:28" ht="1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spans="1:28" ht="1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spans="1:28" ht="1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spans="1:28" ht="1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spans="1:28" ht="1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spans="1:28" ht="1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spans="1:28" ht="1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row>
    <row r="659" spans="1:28" ht="1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spans="1:28" ht="1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row>
    <row r="661" spans="1:28" ht="1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spans="1:28" ht="1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spans="1:28" ht="1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spans="1:28" ht="1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spans="1:28" ht="1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spans="1:28" ht="1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spans="1:28" ht="1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spans="1:28" ht="1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row>
    <row r="669" spans="1:28" ht="1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spans="1:28" ht="1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row>
    <row r="671" spans="1:28" ht="1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spans="1:28" ht="1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spans="1:28" ht="1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spans="1:28" ht="1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row>
    <row r="675" spans="1:28" ht="1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spans="1:28" ht="1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row>
    <row r="677" spans="1:28" ht="1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spans="1:28" ht="1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spans="1:28" ht="1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spans="1:28" ht="1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row>
    <row r="681" spans="1:28" ht="1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spans="1:28" ht="1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row>
    <row r="683" spans="1:28" ht="1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spans="1:28" ht="1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row>
    <row r="685" spans="1:28" ht="1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spans="1:28" ht="1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spans="1:28" ht="1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spans="1:28" ht="1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spans="1:28" ht="1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spans="1:28" ht="1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spans="1:28" ht="1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spans="1:28" ht="1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row>
    <row r="693" spans="1:28" ht="1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spans="1:28" ht="1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row>
    <row r="695" spans="1:28" ht="1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spans="1:28" ht="1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spans="1:28" ht="1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spans="1:28" ht="1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spans="1:28" ht="1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spans="1:28" ht="1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spans="1:28" ht="1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spans="1:28" ht="1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spans="1:28" ht="1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spans="1:28" ht="1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spans="1:28" ht="1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spans="1:28" ht="1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row>
    <row r="707" spans="1:28" ht="1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spans="1:28" ht="1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row>
    <row r="709" spans="1:28" ht="1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spans="1:28" ht="1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row>
    <row r="711" spans="1:28" ht="1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spans="1:28" ht="1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row>
    <row r="713" spans="1:28" ht="1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spans="1:28" ht="1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row>
    <row r="715" spans="1:28" ht="1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spans="1:28" ht="1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row>
    <row r="717" spans="1:28" ht="1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spans="1:28" ht="1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spans="1:28" ht="1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spans="1:28" ht="1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row>
    <row r="721" spans="1:28" ht="1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spans="1:28" ht="1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row>
    <row r="723" spans="1:28" ht="1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spans="1:28" ht="1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row>
    <row r="725" spans="1:28" ht="1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spans="1:28" ht="1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spans="1:28" ht="1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spans="1:28" ht="1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spans="1:28" ht="1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spans="1:28" ht="1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row>
    <row r="731" spans="1:28" ht="1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spans="1:28" ht="1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row>
    <row r="733" spans="1:28" ht="1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spans="1:28" ht="1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spans="1:28" ht="1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spans="1:28" ht="1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spans="1:28" ht="1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spans="1:28" ht="1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spans="1:28" ht="1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spans="1:28" ht="1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row>
    <row r="741" spans="1:28" ht="1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spans="1:28" ht="1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row>
    <row r="743" spans="1:28" ht="1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spans="1:28" ht="1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spans="1:28" ht="1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spans="1:28" ht="1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spans="1:28" ht="1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spans="1:28" ht="1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spans="1:28" ht="1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spans="1:28" ht="1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row>
    <row r="751" spans="1:28" ht="1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spans="1:28" ht="1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row>
    <row r="753" spans="1:28" ht="1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spans="1:28" ht="1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spans="1:28" ht="1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spans="1:28" ht="1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spans="1:28" ht="1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spans="1:28" ht="1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row>
    <row r="759" spans="1:28" ht="1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spans="1:28" ht="1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row>
    <row r="761" spans="1:28" ht="1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spans="1:28" ht="1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row>
    <row r="763" spans="1:28" ht="1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spans="1:28" ht="1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spans="1:28" ht="1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spans="1:28" ht="1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spans="1:28" ht="1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spans="1:28" ht="1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spans="1:28" ht="1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spans="1:28" ht="1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row>
    <row r="771" spans="1:28" ht="1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spans="1:28" ht="1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spans="1:28" ht="1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spans="1:28" ht="1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spans="1:28" ht="1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spans="1:28" ht="1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spans="1:28" ht="1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spans="1:28" ht="1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spans="1:28" ht="1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spans="1:28" ht="1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spans="1:28" ht="1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spans="1:28" ht="1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row>
    <row r="783" spans="1:28" ht="1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spans="1:28" ht="1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row>
    <row r="785" spans="1:28" ht="1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spans="1:28" ht="1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row>
    <row r="787" spans="1:28" ht="1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spans="1:28" ht="1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row>
    <row r="789" spans="1:28" ht="1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spans="1:28" ht="1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spans="1:28" ht="1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spans="1:28" ht="1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spans="1:28" ht="1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spans="1:28" ht="1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spans="1:28" ht="1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spans="1:28" ht="1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spans="1:28" ht="1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spans="1:28" ht="1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spans="1:28" ht="1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spans="1:28" ht="1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spans="1:28" ht="1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spans="1:28" ht="1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spans="1:28" ht="1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spans="1:28" ht="1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spans="1:28" ht="1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spans="1:28" ht="1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spans="1:28" ht="1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spans="1:28" ht="1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spans="1:28" ht="1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spans="1:28" ht="1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row>
    <row r="811" spans="1:28" ht="1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spans="1:28" ht="1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row>
    <row r="813" spans="1:28" ht="1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spans="1:28" ht="1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spans="1:28" ht="1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spans="1:28" ht="1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row>
    <row r="817" spans="1:28" ht="1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spans="1:28" ht="1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row>
    <row r="819" spans="1:28" ht="1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spans="1:28" ht="1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spans="1:28" ht="1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spans="1:28" ht="1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row>
    <row r="823" spans="1:28" ht="1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spans="1:28" ht="1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spans="1:28" ht="1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spans="1:28" ht="1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spans="1:28" ht="1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spans="1:28" ht="1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spans="1:28" ht="1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spans="1:28" ht="1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row>
    <row r="831" spans="1:28" ht="1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spans="1:28" ht="1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row>
    <row r="833" spans="1:28" ht="1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spans="1:28" ht="1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spans="1:28" ht="1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spans="1:28" ht="1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spans="1:28" ht="1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spans="1:28" ht="1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spans="1:28" ht="1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spans="1:28" ht="1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row>
    <row r="841" spans="1:28" ht="1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spans="1:28" ht="1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spans="1:28" ht="1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spans="1:28" ht="1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spans="1:28" ht="1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spans="1:28" ht="1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spans="1:28" ht="1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spans="1:28" ht="1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row>
    <row r="849" spans="1:28" ht="1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spans="1:28" ht="1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row>
    <row r="851" spans="1:28" ht="1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spans="1:28" ht="1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spans="1:28" ht="1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spans="1:28" ht="1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spans="1:28" ht="1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spans="1:28" ht="1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row>
    <row r="857" spans="1:28" ht="1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spans="1:28" ht="1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row>
    <row r="859" spans="1:28" ht="1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spans="1:28" ht="1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spans="1:28" ht="1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spans="1:28" ht="1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spans="1:28" ht="1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spans="1:28" ht="1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row>
    <row r="865" spans="1:28" ht="1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spans="1:28" ht="1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row>
    <row r="867" spans="1:28" ht="1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spans="1:28" ht="1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row>
    <row r="869" spans="1:28" ht="1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spans="1:28" ht="1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row>
    <row r="871" spans="1:28" ht="1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spans="1:28" ht="1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spans="1:28" ht="1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spans="1:28" ht="1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row>
    <row r="875" spans="1:28" ht="1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spans="1:28" ht="1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spans="1:28" ht="1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spans="1:28" ht="1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spans="1:28" ht="1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spans="1:28" ht="1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spans="1:28" ht="1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spans="1:28" ht="1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row>
    <row r="883" spans="1:28" ht="1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spans="1:28" ht="1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row>
    <row r="885" spans="1:28" ht="1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spans="1:28" ht="1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spans="1:28" ht="1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spans="1:28" ht="1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spans="1:28" ht="1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spans="1:28" ht="1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row>
    <row r="891" spans="1:28" ht="1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spans="1:28" ht="1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row>
    <row r="893" spans="1:28" ht="1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row>
    <row r="894" spans="1:28" ht="1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row>
    <row r="895" spans="1:28" ht="1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row>
    <row r="896" spans="1:28" ht="1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row>
    <row r="897" spans="1:28" ht="1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row>
    <row r="898" spans="1:28" ht="1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row>
    <row r="899" spans="1:28" ht="1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spans="1:28" ht="1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row>
    <row r="901" spans="1:28" ht="1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row>
    <row r="902" spans="1:28" ht="1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row>
    <row r="903" spans="1:28" ht="1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row>
    <row r="904" spans="1:28" ht="1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row>
    <row r="905" spans="1:28" ht="1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spans="1:28" ht="1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row>
    <row r="907" spans="1:28" ht="1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row>
    <row r="908" spans="1:28" ht="1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row>
    <row r="909" spans="1:28" ht="1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spans="1:28" ht="1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row>
    <row r="911" spans="1:28" ht="1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row>
    <row r="912" spans="1:28" ht="1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row>
    <row r="913" spans="1:28" ht="1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spans="1:28" ht="1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row>
    <row r="915" spans="1:28" ht="1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spans="1:28" ht="1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row>
    <row r="917" spans="1:28" ht="1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row>
    <row r="918" spans="1:28" ht="1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row>
    <row r="919" spans="1:28" ht="1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row>
    <row r="920" spans="1:28" ht="1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row>
    <row r="921" spans="1:28" ht="1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spans="1:28" ht="1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row>
    <row r="923" spans="1:28" ht="1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spans="1:28" ht="1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row>
    <row r="925" spans="1:28" ht="1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spans="1:28" ht="1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row>
    <row r="927" spans="1:28" ht="1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spans="1:28" ht="1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row>
    <row r="929" spans="1:28" ht="1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row>
    <row r="930" spans="1:28" ht="1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row>
    <row r="931" spans="1:28" ht="1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row>
    <row r="932" spans="1:28" ht="1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row>
    <row r="933" spans="1:28" ht="1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row>
    <row r="934" spans="1:28" ht="1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row>
    <row r="935" spans="1:28" ht="1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spans="1:28" ht="1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spans="1:28" ht="1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row>
    <row r="938" spans="1:28" ht="1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row>
    <row r="939" spans="1:28" ht="1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row>
    <row r="940" spans="1:28" ht="1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row>
    <row r="941" spans="1:28" ht="1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row>
    <row r="942" spans="1:28" ht="1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row>
    <row r="943" spans="1:28" ht="1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spans="1:28" ht="1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row>
    <row r="945" spans="1:28" ht="1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spans="1:28" ht="1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spans="1:28" ht="1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spans="1:28" ht="1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row>
    <row r="949" spans="1:28" ht="1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row>
    <row r="950" spans="1:28" ht="1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row>
    <row r="951" spans="1:28" ht="1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row>
    <row r="952" spans="1:28" ht="1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row>
    <row r="953" spans="1:28" ht="1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spans="1:28" ht="1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spans="1:28" ht="1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spans="1:28" ht="1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spans="1:28" ht="1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spans="1:28" ht="1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row>
    <row r="959" spans="1:28" ht="1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row>
    <row r="960" spans="1:28" ht="1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row>
    <row r="961" spans="1:28" ht="1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row>
    <row r="962" spans="1:28" ht="1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row>
    <row r="963" spans="1:28" ht="1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spans="1:28" ht="1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row>
    <row r="965" spans="1:28" ht="1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spans="1:28" ht="1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row>
    <row r="967" spans="1:28" ht="1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spans="1:28" ht="1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row>
    <row r="969" spans="1:28" ht="1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row>
    <row r="970" spans="1:28" ht="1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row>
    <row r="971" spans="1:28" ht="1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spans="1:28" ht="1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row>
    <row r="973" spans="1:28" ht="1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spans="1:28" ht="1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row>
    <row r="975" spans="1:28" ht="1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spans="1:28" ht="1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row>
    <row r="977" spans="1:28" ht="1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spans="1:28" ht="1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row>
    <row r="979" spans="1:28" ht="1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row>
    <row r="980" spans="1:28" ht="1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row>
    <row r="981" spans="1:28" ht="1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row>
    <row r="982" spans="1:28" ht="1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spans="1:28" ht="1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spans="1:28" ht="1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spans="1:28" ht="1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spans="1:28" ht="1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spans="1:28" ht="1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spans="1:28" ht="1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row>
    <row r="989" spans="1:28" ht="1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row>
    <row r="990" spans="1:28" ht="1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row>
    <row r="991" spans="1:28" ht="1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row>
    <row r="992" spans="1:28" ht="1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row>
    <row r="993" spans="1:28" ht="1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row>
    <row r="994" spans="1:28" ht="1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row>
    <row r="995" spans="1:28" ht="1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row>
    <row r="996" spans="1:28" ht="1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row>
    <row r="997" spans="1:28" ht="1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spans="1:28" ht="1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row>
    <row r="999" spans="1:28" ht="12.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row>
    <row r="1000" spans="1:28" ht="12.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row>
    <row r="1001" spans="1:28" ht="12.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row>
    <row r="1002" spans="1:28" ht="12.5" customHeight="1">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row>
    <row r="1003" spans="1:28" ht="12.5" customHeight="1">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row>
    <row r="1004" spans="1:28" ht="12.5" customHeight="1">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row>
    <row r="1005" spans="1:28" ht="12.5" customHeight="1">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row>
    <row r="1006" spans="1:28" ht="12.5" customHeight="1">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row>
    <row r="1007" spans="1:28" ht="12.5" customHeight="1">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row>
    <row r="1008" spans="1:28" ht="12.5" customHeight="1">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row>
    <row r="1009" spans="1:28" ht="12.5" customHeight="1">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row>
    <row r="1010" spans="1:28" ht="12.5" customHeight="1">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row>
    <row r="1011" spans="1:28" ht="12.5" customHeight="1">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row>
    <row r="1012" spans="1:28" ht="12.5" customHeight="1">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row>
    <row r="1013" spans="1:28" ht="12.5" customHeight="1">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row>
    <row r="1014" spans="1:28" ht="12.5" customHeight="1">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row>
    <row r="1015" spans="1:28" ht="12.5" customHeight="1">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row>
    <row r="1016" spans="1:28" ht="12.5" customHeight="1">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row>
    <row r="1017" spans="1:28" ht="12.5" customHeight="1">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row>
    <row r="1018" spans="1:28" ht="12.5" customHeight="1">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row>
    <row r="1019" spans="1:28" ht="12.5" customHeight="1">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row>
    <row r="1020" spans="1:28" ht="12.5" customHeight="1">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row>
    <row r="1021" spans="1:28" ht="12.5" customHeight="1">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row>
    <row r="1022" spans="1:28" ht="12.5" customHeight="1">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row>
    <row r="1023" spans="1:28" ht="12.5" customHeight="1">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row>
    <row r="1024" spans="1:28" ht="12.5" customHeight="1">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row>
    <row r="1025" spans="1:28" ht="12.5" customHeight="1">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row>
    <row r="1026" spans="1:28" ht="12.5" customHeight="1">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row>
    <row r="1027" spans="1:28" ht="12.5" customHeight="1">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row>
    <row r="1028" spans="1:28" ht="12.5" customHeight="1">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row>
    <row r="1029" spans="1:28" ht="12.5" customHeight="1">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row>
    <row r="1030" spans="1:28" ht="12.5" customHeight="1">
      <c r="A1030" s="18"/>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row>
    <row r="1031" spans="1:28" ht="12.5" customHeight="1">
      <c r="A1031" s="18"/>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row>
    <row r="1032" spans="1:28" ht="12.5" customHeight="1">
      <c r="A1032" s="18"/>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row>
    <row r="1033" spans="1:28" ht="12.5" customHeight="1">
      <c r="A1033" s="18"/>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row>
    <row r="1034" spans="1:28" ht="12.5" customHeight="1">
      <c r="A1034" s="18"/>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row>
    <row r="1035" spans="1:28" ht="12.5" customHeight="1">
      <c r="A1035" s="18"/>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row>
    <row r="1036" spans="1:28" ht="12.5" customHeight="1">
      <c r="A1036" s="18"/>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row>
    <row r="1037" spans="1:28" ht="12.5" customHeight="1">
      <c r="A1037" s="18"/>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row>
    <row r="1038" spans="1:28" ht="12.5" customHeight="1">
      <c r="A1038" s="18"/>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row>
    <row r="1039" spans="1:28" ht="12.5" customHeight="1">
      <c r="A1039" s="18"/>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row>
    <row r="1040" spans="1:28" ht="12.5" customHeight="1">
      <c r="A1040" s="18"/>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row>
    <row r="1041" spans="1:28" ht="12.5" customHeight="1">
      <c r="A1041" s="18"/>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row>
    <row r="1042" spans="1:28" ht="12.5" customHeight="1">
      <c r="A1042" s="18"/>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row>
    <row r="1043" spans="1:28" ht="12.5" customHeight="1">
      <c r="A1043" s="18"/>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row>
    <row r="1044" spans="1:28" ht="12.5" customHeight="1">
      <c r="A1044" s="18"/>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row>
    <row r="1045" spans="1:28" ht="12.5" customHeight="1">
      <c r="A1045" s="18"/>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row>
    <row r="1046" spans="1:28" ht="12.5" customHeight="1">
      <c r="A1046" s="18"/>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row>
    <row r="1047" spans="1:28" ht="12.5" customHeight="1">
      <c r="A1047" s="18"/>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row>
    <row r="1048" spans="1:28" ht="12.5" customHeight="1">
      <c r="A1048" s="18"/>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row>
    <row r="1049" spans="1:28" ht="12.5" customHeight="1">
      <c r="A1049" s="18"/>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row>
    <row r="1050" spans="1:28" ht="12.5" customHeight="1">
      <c r="A1050" s="18"/>
      <c r="B1050" s="18"/>
      <c r="C1050" s="18"/>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row>
    <row r="1051" spans="1:28" ht="12.5" customHeight="1">
      <c r="A1051" s="18"/>
      <c r="B1051" s="18"/>
      <c r="C1051" s="18"/>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row>
    <row r="1052" spans="1:28" ht="12.5" customHeight="1">
      <c r="A1052" s="18"/>
      <c r="B1052" s="18"/>
      <c r="C1052" s="18"/>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row>
    <row r="1053" spans="1:28" ht="12.5" customHeight="1">
      <c r="A1053" s="18"/>
      <c r="B1053" s="18"/>
      <c r="C1053" s="18"/>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row>
    <row r="1054" spans="1:28" ht="12.5" customHeight="1">
      <c r="A1054" s="18"/>
      <c r="B1054" s="18"/>
      <c r="C1054" s="18"/>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row>
    <row r="1055" spans="1:28" ht="12.5" customHeight="1">
      <c r="A1055" s="18"/>
      <c r="B1055" s="18"/>
      <c r="C1055" s="18"/>
      <c r="D1055" s="18"/>
      <c r="E1055" s="18"/>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row>
    <row r="1056" spans="1:28" ht="12.5" customHeight="1">
      <c r="A1056" s="18"/>
      <c r="B1056" s="18"/>
      <c r="C1056" s="18"/>
      <c r="D1056" s="18"/>
      <c r="E1056" s="18"/>
      <c r="F1056" s="18"/>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row>
    <row r="1057" spans="1:28" ht="12.5" customHeight="1">
      <c r="A1057" s="18"/>
      <c r="B1057" s="18"/>
      <c r="C1057" s="18"/>
      <c r="D1057" s="18"/>
      <c r="E1057" s="18"/>
      <c r="F1057" s="18"/>
      <c r="G1057" s="18"/>
      <c r="H1057" s="18"/>
      <c r="I1057" s="18"/>
      <c r="J1057" s="18"/>
      <c r="K1057" s="18"/>
      <c r="L1057" s="18"/>
      <c r="M1057" s="18"/>
      <c r="N1057" s="18"/>
      <c r="O1057" s="18"/>
      <c r="P1057" s="18"/>
      <c r="Q1057" s="18"/>
      <c r="R1057" s="18"/>
      <c r="S1057" s="18"/>
      <c r="T1057" s="18"/>
      <c r="U1057" s="18"/>
      <c r="V1057" s="18"/>
      <c r="W1057" s="18"/>
      <c r="X1057" s="18"/>
      <c r="Y1057" s="18"/>
      <c r="Z1057" s="18"/>
      <c r="AA1057" s="18"/>
      <c r="AB1057" s="18"/>
    </row>
    <row r="1058" spans="1:28" ht="12.5" customHeight="1">
      <c r="A1058" s="18"/>
      <c r="B1058" s="18"/>
      <c r="C1058" s="18"/>
      <c r="D1058" s="18"/>
      <c r="E1058" s="18"/>
      <c r="F1058" s="18"/>
      <c r="G1058" s="18"/>
      <c r="H1058" s="18"/>
      <c r="I1058" s="18"/>
      <c r="J1058" s="18"/>
      <c r="K1058" s="18"/>
      <c r="L1058" s="18"/>
      <c r="M1058" s="18"/>
      <c r="N1058" s="18"/>
      <c r="O1058" s="18"/>
      <c r="P1058" s="18"/>
      <c r="Q1058" s="18"/>
      <c r="R1058" s="18"/>
      <c r="S1058" s="18"/>
      <c r="T1058" s="18"/>
      <c r="U1058" s="18"/>
      <c r="V1058" s="18"/>
      <c r="W1058" s="18"/>
      <c r="X1058" s="18"/>
      <c r="Y1058" s="18"/>
      <c r="Z1058" s="18"/>
      <c r="AA1058" s="18"/>
      <c r="AB1058" s="18"/>
    </row>
    <row r="1059" spans="1:28" ht="12.5" customHeight="1">
      <c r="A1059" s="18"/>
      <c r="B1059" s="18"/>
      <c r="C1059" s="18"/>
      <c r="D1059" s="18"/>
      <c r="E1059" s="18"/>
      <c r="F1059" s="18"/>
      <c r="G1059" s="18"/>
      <c r="H1059" s="18"/>
      <c r="I1059" s="18"/>
      <c r="J1059" s="18"/>
      <c r="K1059" s="18"/>
      <c r="L1059" s="18"/>
      <c r="M1059" s="18"/>
      <c r="N1059" s="18"/>
      <c r="O1059" s="18"/>
      <c r="P1059" s="18"/>
      <c r="Q1059" s="18"/>
      <c r="R1059" s="18"/>
      <c r="S1059" s="18"/>
      <c r="T1059" s="18"/>
      <c r="U1059" s="18"/>
      <c r="V1059" s="18"/>
      <c r="W1059" s="18"/>
      <c r="X1059" s="18"/>
      <c r="Y1059" s="18"/>
      <c r="Z1059" s="18"/>
      <c r="AA1059" s="18"/>
      <c r="AB1059" s="18"/>
    </row>
    <row r="1060" spans="1:28" ht="12.5" customHeight="1">
      <c r="A1060" s="18"/>
      <c r="B1060" s="18"/>
      <c r="C1060" s="18"/>
      <c r="D1060" s="18"/>
      <c r="E1060" s="18"/>
      <c r="F1060" s="18"/>
      <c r="G1060" s="18"/>
      <c r="H1060" s="18"/>
      <c r="I1060" s="18"/>
      <c r="J1060" s="18"/>
      <c r="K1060" s="18"/>
      <c r="L1060" s="18"/>
      <c r="M1060" s="18"/>
      <c r="N1060" s="18"/>
      <c r="O1060" s="18"/>
      <c r="P1060" s="18"/>
      <c r="Q1060" s="18"/>
      <c r="R1060" s="18"/>
      <c r="S1060" s="18"/>
      <c r="T1060" s="18"/>
      <c r="U1060" s="18"/>
      <c r="V1060" s="18"/>
      <c r="W1060" s="18"/>
      <c r="X1060" s="18"/>
      <c r="Y1060" s="18"/>
      <c r="Z1060" s="18"/>
      <c r="AA1060" s="18"/>
      <c r="AB1060" s="18"/>
    </row>
    <row r="1061" spans="1:28" ht="12.5" customHeight="1">
      <c r="A1061" s="18"/>
      <c r="B1061" s="18"/>
      <c r="C1061" s="18"/>
      <c r="D1061" s="18"/>
      <c r="E1061" s="18"/>
      <c r="F1061" s="18"/>
      <c r="G1061" s="18"/>
      <c r="H1061" s="18"/>
      <c r="I1061" s="18"/>
      <c r="J1061" s="18"/>
      <c r="K1061" s="18"/>
      <c r="L1061" s="18"/>
      <c r="M1061" s="18"/>
      <c r="N1061" s="18"/>
      <c r="O1061" s="18"/>
      <c r="P1061" s="18"/>
      <c r="Q1061" s="18"/>
      <c r="R1061" s="18"/>
      <c r="S1061" s="18"/>
      <c r="T1061" s="18"/>
      <c r="U1061" s="18"/>
      <c r="V1061" s="18"/>
      <c r="W1061" s="18"/>
      <c r="X1061" s="18"/>
      <c r="Y1061" s="18"/>
      <c r="Z1061" s="18"/>
      <c r="AA1061" s="18"/>
      <c r="AB1061" s="18"/>
    </row>
    <row r="1062" spans="1:28" ht="12.5" customHeight="1">
      <c r="A1062" s="18"/>
      <c r="B1062" s="18"/>
      <c r="C1062" s="18"/>
      <c r="D1062" s="18"/>
      <c r="E1062" s="18"/>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row>
    <row r="1063" spans="1:28" ht="12.5" customHeight="1">
      <c r="A1063" s="18"/>
      <c r="B1063" s="18"/>
      <c r="C1063" s="18"/>
      <c r="D1063" s="18"/>
      <c r="E1063" s="18"/>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row>
    <row r="1064" spans="1:28" ht="12.5" customHeight="1">
      <c r="A1064" s="18"/>
      <c r="B1064" s="18"/>
      <c r="C1064" s="18"/>
      <c r="D1064" s="18"/>
      <c r="E1064" s="18"/>
      <c r="F1064" s="18"/>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row>
    <row r="1065" spans="1:28" ht="12.5" customHeight="1">
      <c r="A1065" s="18"/>
      <c r="B1065" s="18"/>
      <c r="C1065" s="18"/>
      <c r="D1065" s="18"/>
      <c r="E1065" s="18"/>
      <c r="F1065" s="18"/>
      <c r="G1065" s="18"/>
      <c r="H1065" s="18"/>
      <c r="I1065" s="18"/>
      <c r="J1065" s="18"/>
      <c r="K1065" s="18"/>
      <c r="L1065" s="18"/>
      <c r="M1065" s="18"/>
      <c r="N1065" s="18"/>
      <c r="O1065" s="18"/>
      <c r="P1065" s="18"/>
      <c r="Q1065" s="18"/>
      <c r="R1065" s="18"/>
      <c r="S1065" s="18"/>
      <c r="T1065" s="18"/>
      <c r="U1065" s="18"/>
      <c r="V1065" s="18"/>
      <c r="W1065" s="18"/>
      <c r="X1065" s="18"/>
      <c r="Y1065" s="18"/>
      <c r="Z1065" s="18"/>
      <c r="AA1065" s="18"/>
      <c r="AB1065" s="18"/>
    </row>
    <row r="1066" spans="1:28" ht="12.5" customHeight="1">
      <c r="A1066" s="18"/>
      <c r="B1066" s="18"/>
      <c r="C1066" s="18"/>
      <c r="D1066" s="18"/>
      <c r="E1066" s="18"/>
      <c r="F1066" s="18"/>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row>
    <row r="1067" spans="1:28" ht="12.5" customHeight="1">
      <c r="A1067" s="18"/>
      <c r="B1067" s="18"/>
      <c r="C1067" s="18"/>
      <c r="D1067" s="18"/>
      <c r="E1067" s="18"/>
      <c r="F1067" s="18"/>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row>
    <row r="1068" spans="1:28" ht="12.5" customHeight="1">
      <c r="A1068" s="18"/>
      <c r="B1068" s="18"/>
      <c r="C1068" s="18"/>
      <c r="D1068" s="18"/>
      <c r="E1068" s="18"/>
      <c r="F1068" s="18"/>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row>
    <row r="1069" spans="1:28" ht="12.5" customHeight="1">
      <c r="A1069" s="18"/>
      <c r="B1069" s="18"/>
      <c r="C1069" s="18"/>
      <c r="D1069" s="18"/>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row>
    <row r="1070" spans="1:28" ht="12.5" customHeight="1">
      <c r="A1070" s="18"/>
      <c r="B1070" s="18"/>
      <c r="C1070" s="18"/>
      <c r="D1070" s="18"/>
      <c r="E1070" s="18"/>
      <c r="F1070" s="18"/>
      <c r="G1070" s="18"/>
      <c r="H1070" s="18"/>
      <c r="I1070" s="18"/>
      <c r="J1070" s="18"/>
      <c r="K1070" s="18"/>
      <c r="L1070" s="18"/>
      <c r="M1070" s="18"/>
      <c r="N1070" s="18"/>
      <c r="O1070" s="18"/>
      <c r="P1070" s="18"/>
      <c r="Q1070" s="18"/>
      <c r="R1070" s="18"/>
      <c r="S1070" s="18"/>
      <c r="T1070" s="18"/>
      <c r="U1070" s="18"/>
      <c r="V1070" s="18"/>
      <c r="W1070" s="18"/>
      <c r="X1070" s="18"/>
      <c r="Y1070" s="18"/>
      <c r="Z1070" s="18"/>
      <c r="AA1070" s="18"/>
      <c r="AB1070" s="18"/>
    </row>
    <row r="1071" spans="1:28" ht="12.5" customHeight="1">
      <c r="A1071" s="18"/>
      <c r="B1071" s="18"/>
      <c r="C1071" s="18"/>
      <c r="D1071" s="18"/>
      <c r="E1071" s="18"/>
      <c r="F1071" s="18"/>
      <c r="G1071" s="18"/>
      <c r="H1071" s="18"/>
      <c r="I1071" s="18"/>
      <c r="J1071" s="18"/>
      <c r="K1071" s="18"/>
      <c r="L1071" s="18"/>
      <c r="M1071" s="18"/>
      <c r="N1071" s="18"/>
      <c r="O1071" s="18"/>
      <c r="P1071" s="18"/>
      <c r="Q1071" s="18"/>
      <c r="R1071" s="18"/>
      <c r="S1071" s="18"/>
      <c r="T1071" s="18"/>
      <c r="U1071" s="18"/>
      <c r="V1071" s="18"/>
      <c r="W1071" s="18"/>
      <c r="X1071" s="18"/>
      <c r="Y1071" s="18"/>
      <c r="Z1071" s="18"/>
      <c r="AA1071" s="18"/>
      <c r="AB1071" s="18"/>
    </row>
    <row r="1072" spans="1:28" ht="12.5" customHeight="1">
      <c r="A1072" s="18"/>
      <c r="B1072" s="18"/>
      <c r="C1072" s="18"/>
      <c r="D1072" s="18"/>
      <c r="E1072" s="18"/>
      <c r="F1072" s="18"/>
      <c r="G1072" s="18"/>
      <c r="H1072" s="18"/>
      <c r="I1072" s="18"/>
      <c r="J1072" s="18"/>
      <c r="K1072" s="18"/>
      <c r="L1072" s="18"/>
      <c r="M1072" s="18"/>
      <c r="N1072" s="18"/>
      <c r="O1072" s="18"/>
      <c r="P1072" s="18"/>
      <c r="Q1072" s="18"/>
      <c r="R1072" s="18"/>
      <c r="S1072" s="18"/>
      <c r="T1072" s="18"/>
      <c r="U1072" s="18"/>
      <c r="V1072" s="18"/>
      <c r="W1072" s="18"/>
      <c r="X1072" s="18"/>
      <c r="Y1072" s="18"/>
      <c r="Z1072" s="18"/>
      <c r="AA1072" s="18"/>
      <c r="AB1072" s="18"/>
    </row>
    <row r="1073" spans="1:28" ht="12.5" customHeight="1">
      <c r="A1073" s="18"/>
      <c r="B1073" s="18"/>
      <c r="C1073" s="18"/>
      <c r="D1073" s="18"/>
      <c r="E1073" s="18"/>
      <c r="F1073" s="18"/>
      <c r="G1073" s="18"/>
      <c r="H1073" s="18"/>
      <c r="I1073" s="18"/>
      <c r="J1073" s="18"/>
      <c r="K1073" s="18"/>
      <c r="L1073" s="18"/>
      <c r="M1073" s="18"/>
      <c r="N1073" s="18"/>
      <c r="O1073" s="18"/>
      <c r="P1073" s="18"/>
      <c r="Q1073" s="18"/>
      <c r="R1073" s="18"/>
      <c r="S1073" s="18"/>
      <c r="T1073" s="18"/>
      <c r="U1073" s="18"/>
      <c r="V1073" s="18"/>
      <c r="W1073" s="18"/>
      <c r="X1073" s="18"/>
      <c r="Y1073" s="18"/>
      <c r="Z1073" s="18"/>
      <c r="AA1073" s="18"/>
      <c r="AB1073" s="18"/>
    </row>
    <row r="1074" spans="1:28" ht="12.5" customHeight="1">
      <c r="A1074" s="18"/>
      <c r="B1074" s="18"/>
      <c r="C1074" s="18"/>
      <c r="D1074" s="18"/>
      <c r="E1074" s="18"/>
      <c r="F1074" s="18"/>
      <c r="G1074" s="18"/>
      <c r="H1074" s="18"/>
      <c r="I1074" s="18"/>
      <c r="J1074" s="18"/>
      <c r="K1074" s="18"/>
      <c r="L1074" s="18"/>
      <c r="M1074" s="18"/>
      <c r="N1074" s="18"/>
      <c r="O1074" s="18"/>
      <c r="P1074" s="18"/>
      <c r="Q1074" s="18"/>
      <c r="R1074" s="18"/>
      <c r="S1074" s="18"/>
      <c r="T1074" s="18"/>
      <c r="U1074" s="18"/>
      <c r="V1074" s="18"/>
      <c r="W1074" s="18"/>
      <c r="X1074" s="18"/>
      <c r="Y1074" s="18"/>
      <c r="Z1074" s="18"/>
      <c r="AA1074" s="18"/>
      <c r="AB1074" s="18"/>
    </row>
    <row r="1075" spans="1:28" ht="12.5" customHeight="1">
      <c r="A1075" s="18"/>
      <c r="B1075" s="18"/>
      <c r="C1075" s="18"/>
      <c r="D1075" s="18"/>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8"/>
      <c r="AA1075" s="18"/>
      <c r="AB1075" s="18"/>
    </row>
    <row r="1076" spans="1:28" ht="12.5" customHeight="1">
      <c r="A1076" s="18"/>
      <c r="B1076" s="18"/>
      <c r="C1076" s="18"/>
      <c r="D1076" s="18"/>
      <c r="E1076" s="18"/>
      <c r="F1076" s="18"/>
      <c r="G1076" s="18"/>
      <c r="H1076" s="18"/>
      <c r="I1076" s="18"/>
      <c r="J1076" s="18"/>
      <c r="K1076" s="18"/>
      <c r="L1076" s="18"/>
      <c r="M1076" s="18"/>
      <c r="N1076" s="18"/>
      <c r="O1076" s="18"/>
      <c r="P1076" s="18"/>
      <c r="Q1076" s="18"/>
      <c r="R1076" s="18"/>
      <c r="S1076" s="18"/>
      <c r="T1076" s="18"/>
      <c r="U1076" s="18"/>
      <c r="V1076" s="18"/>
      <c r="W1076" s="18"/>
      <c r="X1076" s="18"/>
      <c r="Y1076" s="18"/>
      <c r="Z1076" s="18"/>
      <c r="AA1076" s="18"/>
      <c r="AB1076" s="18"/>
    </row>
    <row r="1077" spans="1:28" ht="12.5" customHeight="1">
      <c r="A1077" s="18"/>
      <c r="B1077" s="18"/>
      <c r="C1077" s="18"/>
      <c r="D1077" s="18"/>
      <c r="E1077" s="18"/>
      <c r="F1077" s="18"/>
      <c r="G1077" s="18"/>
      <c r="H1077" s="18"/>
      <c r="I1077" s="18"/>
      <c r="J1077" s="18"/>
      <c r="K1077" s="18"/>
      <c r="L1077" s="18"/>
      <c r="M1077" s="18"/>
      <c r="N1077" s="18"/>
      <c r="O1077" s="18"/>
      <c r="P1077" s="18"/>
      <c r="Q1077" s="18"/>
      <c r="R1077" s="18"/>
      <c r="S1077" s="18"/>
      <c r="T1077" s="18"/>
      <c r="U1077" s="18"/>
      <c r="V1077" s="18"/>
      <c r="W1077" s="18"/>
      <c r="X1077" s="18"/>
      <c r="Y1077" s="18"/>
      <c r="Z1077" s="18"/>
      <c r="AA1077" s="18"/>
      <c r="AB1077" s="18"/>
    </row>
    <row r="1078" spans="1:28" ht="12.5" customHeight="1">
      <c r="A1078" s="18"/>
      <c r="B1078" s="18"/>
      <c r="C1078" s="18"/>
      <c r="D1078" s="18"/>
      <c r="E1078" s="18"/>
      <c r="F1078" s="18"/>
      <c r="G1078" s="18"/>
      <c r="H1078" s="18"/>
      <c r="I1078" s="18"/>
      <c r="J1078" s="18"/>
      <c r="K1078" s="18"/>
      <c r="L1078" s="18"/>
      <c r="M1078" s="18"/>
      <c r="N1078" s="18"/>
      <c r="O1078" s="18"/>
      <c r="P1078" s="18"/>
      <c r="Q1078" s="18"/>
      <c r="R1078" s="18"/>
      <c r="S1078" s="18"/>
      <c r="T1078" s="18"/>
      <c r="U1078" s="18"/>
      <c r="V1078" s="18"/>
      <c r="W1078" s="18"/>
      <c r="X1078" s="18"/>
      <c r="Y1078" s="18"/>
      <c r="Z1078" s="18"/>
      <c r="AA1078" s="18"/>
      <c r="AB1078" s="18"/>
    </row>
    <row r="1079" spans="1:28" ht="12.5" customHeight="1">
      <c r="A1079" s="18"/>
      <c r="B1079" s="18"/>
      <c r="C1079" s="18"/>
      <c r="D1079" s="18"/>
      <c r="E1079" s="18"/>
      <c r="F1079" s="18"/>
      <c r="G1079" s="18"/>
      <c r="H1079" s="18"/>
      <c r="I1079" s="18"/>
      <c r="J1079" s="18"/>
      <c r="K1079" s="18"/>
      <c r="L1079" s="18"/>
      <c r="M1079" s="18"/>
      <c r="N1079" s="18"/>
      <c r="O1079" s="18"/>
      <c r="P1079" s="18"/>
      <c r="Q1079" s="18"/>
      <c r="R1079" s="18"/>
      <c r="S1079" s="18"/>
      <c r="T1079" s="18"/>
      <c r="U1079" s="18"/>
      <c r="V1079" s="18"/>
      <c r="W1079" s="18"/>
      <c r="X1079" s="18"/>
      <c r="Y1079" s="18"/>
      <c r="Z1079" s="18"/>
      <c r="AA1079" s="18"/>
      <c r="AB1079" s="18"/>
    </row>
    <row r="1080" spans="1:28" ht="12.5" customHeight="1">
      <c r="A1080" s="18"/>
      <c r="B1080" s="18"/>
      <c r="C1080" s="18"/>
      <c r="D1080" s="18"/>
      <c r="E1080" s="18"/>
      <c r="F1080" s="18"/>
      <c r="G1080" s="18"/>
      <c r="H1080" s="18"/>
      <c r="I1080" s="18"/>
      <c r="J1080" s="18"/>
      <c r="K1080" s="18"/>
      <c r="L1080" s="18"/>
      <c r="M1080" s="18"/>
      <c r="N1080" s="18"/>
      <c r="O1080" s="18"/>
      <c r="P1080" s="18"/>
      <c r="Q1080" s="18"/>
      <c r="R1080" s="18"/>
      <c r="S1080" s="18"/>
      <c r="T1080" s="18"/>
      <c r="U1080" s="18"/>
      <c r="V1080" s="18"/>
      <c r="W1080" s="18"/>
      <c r="X1080" s="18"/>
      <c r="Y1080" s="18"/>
      <c r="Z1080" s="18"/>
      <c r="AA1080" s="18"/>
      <c r="AB1080" s="18"/>
    </row>
    <row r="1081" spans="1:28" ht="12.5" customHeight="1">
      <c r="A1081" s="18"/>
      <c r="B1081" s="18"/>
      <c r="C1081" s="18"/>
      <c r="D1081" s="18"/>
      <c r="E1081" s="18"/>
      <c r="F1081" s="18"/>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row>
    <row r="1082" spans="1:28" ht="12.5" customHeight="1">
      <c r="A1082" s="18"/>
      <c r="B1082" s="18"/>
      <c r="C1082" s="18"/>
      <c r="D1082" s="18"/>
      <c r="E1082" s="18"/>
      <c r="F1082" s="18"/>
      <c r="G1082" s="18"/>
      <c r="H1082" s="18"/>
      <c r="I1082" s="18"/>
      <c r="J1082" s="18"/>
      <c r="K1082" s="18"/>
      <c r="L1082" s="18"/>
      <c r="M1082" s="18"/>
      <c r="N1082" s="18"/>
      <c r="O1082" s="18"/>
      <c r="P1082" s="18"/>
      <c r="Q1082" s="18"/>
      <c r="R1082" s="18"/>
      <c r="S1082" s="18"/>
      <c r="T1082" s="18"/>
      <c r="U1082" s="18"/>
      <c r="V1082" s="18"/>
      <c r="W1082" s="18"/>
      <c r="X1082" s="18"/>
      <c r="Y1082" s="18"/>
      <c r="Z1082" s="18"/>
      <c r="AA1082" s="18"/>
      <c r="AB1082" s="18"/>
    </row>
    <row r="1083" spans="1:28" ht="12.5" customHeight="1">
      <c r="A1083" s="18"/>
      <c r="B1083" s="18"/>
      <c r="C1083" s="18"/>
      <c r="D1083" s="18"/>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8"/>
      <c r="AA1083" s="18"/>
      <c r="AB1083" s="18"/>
    </row>
    <row r="1084" spans="1:28" ht="12.5" customHeight="1">
      <c r="A1084" s="18"/>
      <c r="B1084" s="18"/>
      <c r="C1084" s="18"/>
      <c r="D1084" s="18"/>
      <c r="E1084" s="18"/>
      <c r="F1084" s="18"/>
      <c r="G1084" s="18"/>
      <c r="H1084" s="18"/>
      <c r="I1084" s="18"/>
      <c r="J1084" s="18"/>
      <c r="K1084" s="18"/>
      <c r="L1084" s="18"/>
      <c r="M1084" s="18"/>
      <c r="N1084" s="18"/>
      <c r="O1084" s="18"/>
      <c r="P1084" s="18"/>
      <c r="Q1084" s="18"/>
      <c r="R1084" s="18"/>
      <c r="S1084" s="18"/>
      <c r="T1084" s="18"/>
      <c r="U1084" s="18"/>
      <c r="V1084" s="18"/>
      <c r="W1084" s="18"/>
      <c r="X1084" s="18"/>
      <c r="Y1084" s="18"/>
      <c r="Z1084" s="18"/>
      <c r="AA1084" s="18"/>
      <c r="AB1084" s="18"/>
    </row>
    <row r="1085" spans="1:28" ht="12.5" customHeight="1">
      <c r="A1085" s="18"/>
      <c r="B1085" s="18"/>
      <c r="C1085" s="18"/>
      <c r="D1085" s="18"/>
      <c r="E1085" s="18"/>
      <c r="F1085" s="18"/>
      <c r="G1085" s="18"/>
      <c r="H1085" s="18"/>
      <c r="I1085" s="18"/>
      <c r="J1085" s="18"/>
      <c r="K1085" s="18"/>
      <c r="L1085" s="18"/>
      <c r="M1085" s="18"/>
      <c r="N1085" s="18"/>
      <c r="O1085" s="18"/>
      <c r="P1085" s="18"/>
      <c r="Q1085" s="18"/>
      <c r="R1085" s="18"/>
      <c r="S1085" s="18"/>
      <c r="T1085" s="18"/>
      <c r="U1085" s="18"/>
      <c r="V1085" s="18"/>
      <c r="W1085" s="18"/>
      <c r="X1085" s="18"/>
      <c r="Y1085" s="18"/>
      <c r="Z1085" s="18"/>
      <c r="AA1085" s="18"/>
      <c r="AB1085" s="18"/>
    </row>
    <row r="1086" spans="1:28" ht="12.5" customHeight="1">
      <c r="A1086" s="18"/>
      <c r="B1086" s="18"/>
      <c r="C1086" s="18"/>
      <c r="D1086" s="18"/>
      <c r="E1086" s="18"/>
      <c r="F1086" s="18"/>
      <c r="G1086" s="18"/>
      <c r="H1086" s="18"/>
      <c r="I1086" s="18"/>
      <c r="J1086" s="18"/>
      <c r="K1086" s="18"/>
      <c r="L1086" s="18"/>
      <c r="M1086" s="18"/>
      <c r="N1086" s="18"/>
      <c r="O1086" s="18"/>
      <c r="P1086" s="18"/>
      <c r="Q1086" s="18"/>
      <c r="R1086" s="18"/>
      <c r="S1086" s="18"/>
      <c r="T1086" s="18"/>
      <c r="U1086" s="18"/>
      <c r="V1086" s="18"/>
      <c r="W1086" s="18"/>
      <c r="X1086" s="18"/>
      <c r="Y1086" s="18"/>
      <c r="Z1086" s="18"/>
      <c r="AA1086" s="18"/>
      <c r="AB1086" s="18"/>
    </row>
    <row r="1087" spans="1:28" ht="12.5" customHeight="1">
      <c r="A1087" s="18"/>
      <c r="B1087" s="18"/>
      <c r="C1087" s="18"/>
      <c r="D1087" s="18"/>
      <c r="E1087" s="18"/>
      <c r="F1087" s="18"/>
      <c r="G1087" s="18"/>
      <c r="H1087" s="18"/>
      <c r="I1087" s="18"/>
      <c r="J1087" s="18"/>
      <c r="K1087" s="18"/>
      <c r="L1087" s="18"/>
      <c r="M1087" s="18"/>
      <c r="N1087" s="18"/>
      <c r="O1087" s="18"/>
      <c r="P1087" s="18"/>
      <c r="Q1087" s="18"/>
      <c r="R1087" s="18"/>
      <c r="S1087" s="18"/>
      <c r="T1087" s="18"/>
      <c r="U1087" s="18"/>
      <c r="V1087" s="18"/>
      <c r="W1087" s="18"/>
      <c r="X1087" s="18"/>
      <c r="Y1087" s="18"/>
      <c r="Z1087" s="18"/>
      <c r="AA1087" s="18"/>
      <c r="AB1087" s="18"/>
    </row>
    <row r="1088" spans="1:28" ht="12.5" customHeight="1">
      <c r="A1088" s="18"/>
      <c r="B1088" s="18"/>
      <c r="C1088" s="18"/>
      <c r="D1088" s="18"/>
      <c r="E1088" s="18"/>
      <c r="F1088" s="18"/>
      <c r="G1088" s="18"/>
      <c r="H1088" s="18"/>
      <c r="I1088" s="18"/>
      <c r="J1088" s="18"/>
      <c r="K1088" s="18"/>
      <c r="L1088" s="18"/>
      <c r="M1088" s="18"/>
      <c r="N1088" s="18"/>
      <c r="O1088" s="18"/>
      <c r="P1088" s="18"/>
      <c r="Q1088" s="18"/>
      <c r="R1088" s="18"/>
      <c r="S1088" s="18"/>
      <c r="T1088" s="18"/>
      <c r="U1088" s="18"/>
      <c r="V1088" s="18"/>
      <c r="W1088" s="18"/>
      <c r="X1088" s="18"/>
      <c r="Y1088" s="18"/>
      <c r="Z1088" s="18"/>
      <c r="AA1088" s="18"/>
      <c r="AB1088" s="18"/>
    </row>
    <row r="1089" spans="1:28" ht="12.5" customHeight="1">
      <c r="A1089" s="18"/>
      <c r="B1089" s="18"/>
      <c r="C1089" s="18"/>
      <c r="D1089" s="18"/>
      <c r="E1089" s="18"/>
      <c r="F1089" s="18"/>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row>
    <row r="1090" spans="1:28" ht="12.5" customHeight="1">
      <c r="A1090" s="18"/>
      <c r="B1090" s="18"/>
      <c r="C1090" s="18"/>
      <c r="D1090" s="18"/>
      <c r="E1090" s="18"/>
      <c r="F1090" s="18"/>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row>
    <row r="1091" spans="1:28" ht="12.5" customHeight="1">
      <c r="A1091" s="18"/>
      <c r="B1091" s="18"/>
      <c r="C1091" s="18"/>
      <c r="D1091" s="18"/>
      <c r="E1091" s="18"/>
      <c r="F1091" s="18"/>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row>
    <row r="1092" spans="1:28" ht="12.5" customHeight="1">
      <c r="A1092" s="18"/>
      <c r="B1092" s="18"/>
      <c r="C1092" s="18"/>
      <c r="D1092" s="18"/>
      <c r="E1092" s="18"/>
      <c r="F1092" s="18"/>
      <c r="G1092" s="18"/>
      <c r="H1092" s="18"/>
      <c r="I1092" s="18"/>
      <c r="J1092" s="18"/>
      <c r="K1092" s="18"/>
      <c r="L1092" s="18"/>
      <c r="M1092" s="18"/>
      <c r="N1092" s="18"/>
      <c r="O1092" s="18"/>
      <c r="P1092" s="18"/>
      <c r="Q1092" s="18"/>
      <c r="R1092" s="18"/>
      <c r="S1092" s="18"/>
      <c r="T1092" s="18"/>
      <c r="U1092" s="18"/>
      <c r="V1092" s="18"/>
      <c r="W1092" s="18"/>
      <c r="X1092" s="18"/>
      <c r="Y1092" s="18"/>
      <c r="Z1092" s="18"/>
      <c r="AA1092" s="18"/>
      <c r="AB1092" s="18"/>
    </row>
    <row r="1093" spans="1:28" ht="12.5" customHeight="1">
      <c r="A1093" s="18"/>
      <c r="B1093" s="18"/>
      <c r="C1093" s="18"/>
      <c r="D1093" s="18"/>
      <c r="E1093" s="18"/>
      <c r="F1093" s="18"/>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row>
    <row r="1094" spans="1:28" ht="12.5" customHeight="1">
      <c r="A1094" s="18"/>
      <c r="B1094" s="18"/>
      <c r="C1094" s="18"/>
      <c r="D1094" s="18"/>
      <c r="E1094" s="18"/>
      <c r="F1094" s="18"/>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row>
    <row r="1095" spans="1:28" ht="12.5" customHeight="1">
      <c r="A1095" s="18"/>
      <c r="B1095" s="18"/>
      <c r="C1095" s="18"/>
      <c r="D1095" s="18"/>
      <c r="E1095" s="18"/>
      <c r="F1095" s="18"/>
      <c r="G1095" s="18"/>
      <c r="H1095" s="18"/>
      <c r="I1095" s="18"/>
      <c r="J1095" s="18"/>
      <c r="K1095" s="18"/>
      <c r="L1095" s="18"/>
      <c r="M1095" s="18"/>
      <c r="N1095" s="18"/>
      <c r="O1095" s="18"/>
      <c r="P1095" s="18"/>
      <c r="Q1095" s="18"/>
      <c r="R1095" s="18"/>
      <c r="S1095" s="18"/>
      <c r="T1095" s="18"/>
      <c r="U1095" s="18"/>
      <c r="V1095" s="18"/>
      <c r="W1095" s="18"/>
      <c r="X1095" s="18"/>
      <c r="Y1095" s="18"/>
      <c r="Z1095" s="18"/>
      <c r="AA1095" s="18"/>
      <c r="AB1095" s="18"/>
    </row>
    <row r="1096" spans="1:28" ht="12.5" customHeight="1">
      <c r="A1096" s="18"/>
      <c r="B1096" s="18"/>
      <c r="C1096" s="18"/>
      <c r="D1096" s="18"/>
      <c r="E1096" s="18"/>
      <c r="F1096" s="18"/>
      <c r="G1096" s="18"/>
      <c r="H1096" s="18"/>
      <c r="I1096" s="18"/>
      <c r="J1096" s="18"/>
      <c r="K1096" s="18"/>
      <c r="L1096" s="18"/>
      <c r="M1096" s="18"/>
      <c r="N1096" s="18"/>
      <c r="O1096" s="18"/>
      <c r="P1096" s="18"/>
      <c r="Q1096" s="18"/>
      <c r="R1096" s="18"/>
      <c r="S1096" s="18"/>
      <c r="T1096" s="18"/>
      <c r="U1096" s="18"/>
      <c r="V1096" s="18"/>
      <c r="W1096" s="18"/>
      <c r="X1096" s="18"/>
      <c r="Y1096" s="18"/>
      <c r="Z1096" s="18"/>
      <c r="AA1096" s="18"/>
      <c r="AB1096" s="18"/>
    </row>
    <row r="1097" spans="1:28" ht="12.5" customHeight="1">
      <c r="A1097" s="18"/>
      <c r="B1097" s="18"/>
      <c r="C1097" s="18"/>
      <c r="D1097" s="18"/>
      <c r="E1097" s="18"/>
      <c r="F1097" s="18"/>
      <c r="G1097" s="18"/>
      <c r="H1097" s="18"/>
      <c r="I1097" s="18"/>
      <c r="J1097" s="18"/>
      <c r="K1097" s="18"/>
      <c r="L1097" s="18"/>
      <c r="M1097" s="18"/>
      <c r="N1097" s="18"/>
      <c r="O1097" s="18"/>
      <c r="P1097" s="18"/>
      <c r="Q1097" s="18"/>
      <c r="R1097" s="18"/>
      <c r="S1097" s="18"/>
      <c r="T1097" s="18"/>
      <c r="U1097" s="18"/>
      <c r="V1097" s="18"/>
      <c r="W1097" s="18"/>
      <c r="X1097" s="18"/>
      <c r="Y1097" s="18"/>
      <c r="Z1097" s="18"/>
      <c r="AA1097" s="18"/>
      <c r="AB1097" s="18"/>
    </row>
    <row r="1098" spans="1:28" ht="12.5" customHeight="1">
      <c r="A1098" s="18"/>
      <c r="B1098" s="18"/>
      <c r="C1098" s="18"/>
      <c r="D1098" s="18"/>
      <c r="E1098" s="18"/>
      <c r="F1098" s="18"/>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row>
    <row r="1099" spans="1:28" ht="12.5" customHeight="1">
      <c r="A1099" s="18"/>
      <c r="B1099" s="18"/>
      <c r="C1099" s="18"/>
      <c r="D1099" s="18"/>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8"/>
      <c r="AA1099" s="18"/>
      <c r="AB1099" s="18"/>
    </row>
    <row r="1100" spans="1:28" ht="12.5" customHeight="1">
      <c r="A1100" s="18"/>
      <c r="B1100" s="18"/>
      <c r="C1100" s="18"/>
      <c r="D1100" s="18"/>
      <c r="E1100" s="18"/>
      <c r="F1100" s="18"/>
      <c r="G1100" s="18"/>
      <c r="H1100" s="18"/>
      <c r="I1100" s="18"/>
      <c r="J1100" s="18"/>
      <c r="K1100" s="18"/>
      <c r="L1100" s="18"/>
      <c r="M1100" s="18"/>
      <c r="N1100" s="18"/>
      <c r="O1100" s="18"/>
      <c r="P1100" s="18"/>
      <c r="Q1100" s="18"/>
      <c r="R1100" s="18"/>
      <c r="S1100" s="18"/>
      <c r="T1100" s="18"/>
      <c r="U1100" s="18"/>
      <c r="V1100" s="18"/>
      <c r="W1100" s="18"/>
      <c r="X1100" s="18"/>
      <c r="Y1100" s="18"/>
      <c r="Z1100" s="18"/>
      <c r="AA1100" s="18"/>
      <c r="AB1100" s="18"/>
    </row>
    <row r="1101" spans="1:28" ht="12.5" customHeight="1">
      <c r="A1101" s="18"/>
      <c r="B1101" s="18"/>
      <c r="C1101" s="18"/>
      <c r="D1101" s="18"/>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8"/>
      <c r="AA1101" s="18"/>
      <c r="AB1101" s="18"/>
    </row>
    <row r="1102" spans="1:28" ht="12.5" customHeight="1">
      <c r="A1102" s="18"/>
      <c r="B1102" s="18"/>
      <c r="C1102" s="18"/>
      <c r="D1102" s="18"/>
      <c r="E1102" s="18"/>
      <c r="F1102" s="18"/>
      <c r="G1102" s="18"/>
      <c r="H1102" s="18"/>
      <c r="I1102" s="18"/>
      <c r="J1102" s="18"/>
      <c r="K1102" s="18"/>
      <c r="L1102" s="18"/>
      <c r="M1102" s="18"/>
      <c r="N1102" s="18"/>
      <c r="O1102" s="18"/>
      <c r="P1102" s="18"/>
      <c r="Q1102" s="18"/>
      <c r="R1102" s="18"/>
      <c r="S1102" s="18"/>
      <c r="T1102" s="18"/>
      <c r="U1102" s="18"/>
      <c r="V1102" s="18"/>
      <c r="W1102" s="18"/>
      <c r="X1102" s="18"/>
      <c r="Y1102" s="18"/>
      <c r="Z1102" s="18"/>
      <c r="AA1102" s="18"/>
      <c r="AB1102" s="18"/>
    </row>
    <row r="1103" spans="1:28" ht="12.5" customHeight="1">
      <c r="A1103" s="18"/>
      <c r="B1103" s="18"/>
      <c r="C1103" s="18"/>
      <c r="D1103" s="18"/>
      <c r="E1103" s="18"/>
      <c r="F1103" s="18"/>
      <c r="G1103" s="18"/>
      <c r="H1103" s="18"/>
      <c r="I1103" s="18"/>
      <c r="J1103" s="18"/>
      <c r="K1103" s="18"/>
      <c r="L1103" s="18"/>
      <c r="M1103" s="18"/>
      <c r="N1103" s="18"/>
      <c r="O1103" s="18"/>
      <c r="P1103" s="18"/>
      <c r="Q1103" s="18"/>
      <c r="R1103" s="18"/>
      <c r="S1103" s="18"/>
      <c r="T1103" s="18"/>
      <c r="U1103" s="18"/>
      <c r="V1103" s="18"/>
      <c r="W1103" s="18"/>
      <c r="X1103" s="18"/>
      <c r="Y1103" s="18"/>
      <c r="Z1103" s="18"/>
      <c r="AA1103" s="18"/>
      <c r="AB1103" s="18"/>
    </row>
    <row r="1104" spans="1:28" ht="12.5" customHeight="1">
      <c r="A1104" s="18"/>
      <c r="B1104" s="18"/>
      <c r="C1104" s="18"/>
      <c r="D1104" s="18"/>
      <c r="E1104" s="18"/>
      <c r="F1104" s="18"/>
      <c r="G1104" s="18"/>
      <c r="H1104" s="18"/>
      <c r="I1104" s="18"/>
      <c r="J1104" s="18"/>
      <c r="K1104" s="18"/>
      <c r="L1104" s="18"/>
      <c r="M1104" s="18"/>
      <c r="N1104" s="18"/>
      <c r="O1104" s="18"/>
      <c r="P1104" s="18"/>
      <c r="Q1104" s="18"/>
      <c r="R1104" s="18"/>
      <c r="S1104" s="18"/>
      <c r="T1104" s="18"/>
      <c r="U1104" s="18"/>
      <c r="V1104" s="18"/>
      <c r="W1104" s="18"/>
      <c r="X1104" s="18"/>
      <c r="Y1104" s="18"/>
      <c r="Z1104" s="18"/>
      <c r="AA1104" s="18"/>
      <c r="AB1104" s="18"/>
    </row>
    <row r="1105" spans="1:28" ht="12.5" customHeight="1">
      <c r="A1105" s="18"/>
      <c r="B1105" s="18"/>
      <c r="C1105" s="18"/>
      <c r="D1105" s="18"/>
      <c r="E1105" s="18"/>
      <c r="F1105" s="18"/>
      <c r="G1105" s="18"/>
      <c r="H1105" s="18"/>
      <c r="I1105" s="18"/>
      <c r="J1105" s="18"/>
      <c r="K1105" s="18"/>
      <c r="L1105" s="18"/>
      <c r="M1105" s="18"/>
      <c r="N1105" s="18"/>
      <c r="O1105" s="18"/>
      <c r="P1105" s="18"/>
      <c r="Q1105" s="18"/>
      <c r="R1105" s="18"/>
      <c r="S1105" s="18"/>
      <c r="T1105" s="18"/>
      <c r="U1105" s="18"/>
      <c r="V1105" s="18"/>
      <c r="W1105" s="18"/>
      <c r="X1105" s="18"/>
      <c r="Y1105" s="18"/>
      <c r="Z1105" s="18"/>
      <c r="AA1105" s="18"/>
      <c r="AB1105" s="18"/>
    </row>
    <row r="1106" spans="1:28" ht="12.5" customHeight="1">
      <c r="A1106" s="18"/>
      <c r="B1106" s="18"/>
      <c r="C1106" s="18"/>
      <c r="D1106" s="18"/>
      <c r="E1106" s="18"/>
      <c r="F1106" s="18"/>
      <c r="G1106" s="18"/>
      <c r="H1106" s="18"/>
      <c r="I1106" s="18"/>
      <c r="J1106" s="18"/>
      <c r="K1106" s="18"/>
      <c r="L1106" s="18"/>
      <c r="M1106" s="18"/>
      <c r="N1106" s="18"/>
      <c r="O1106" s="18"/>
      <c r="P1106" s="18"/>
      <c r="Q1106" s="18"/>
      <c r="R1106" s="18"/>
      <c r="S1106" s="18"/>
      <c r="T1106" s="18"/>
      <c r="U1106" s="18"/>
      <c r="V1106" s="18"/>
      <c r="W1106" s="18"/>
      <c r="X1106" s="18"/>
      <c r="Y1106" s="18"/>
      <c r="Z1106" s="18"/>
      <c r="AA1106" s="18"/>
      <c r="AB1106" s="18"/>
    </row>
    <row r="1107" spans="1:28" ht="12.5" customHeight="1">
      <c r="A1107" s="18"/>
      <c r="B1107" s="18"/>
      <c r="C1107" s="18"/>
      <c r="D1107" s="18"/>
      <c r="E1107" s="18"/>
      <c r="F1107" s="18"/>
      <c r="G1107" s="18"/>
      <c r="H1107" s="18"/>
      <c r="I1107" s="18"/>
      <c r="J1107" s="18"/>
      <c r="K1107" s="18"/>
      <c r="L1107" s="18"/>
      <c r="M1107" s="18"/>
      <c r="N1107" s="18"/>
      <c r="O1107" s="18"/>
      <c r="P1107" s="18"/>
      <c r="Q1107" s="18"/>
      <c r="R1107" s="18"/>
      <c r="S1107" s="18"/>
      <c r="T1107" s="18"/>
      <c r="U1107" s="18"/>
      <c r="V1107" s="18"/>
      <c r="W1107" s="18"/>
      <c r="X1107" s="18"/>
      <c r="Y1107" s="18"/>
      <c r="Z1107" s="18"/>
      <c r="AA1107" s="18"/>
      <c r="AB1107" s="18"/>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7" r:id="rId45" xr:uid="{00000000-0004-0000-0200-00002C000000}"/>
    <hyperlink ref="D48" r:id="rId46" xr:uid="{00000000-0004-0000-0200-00002D000000}"/>
    <hyperlink ref="D49" r:id="rId47" xr:uid="{00000000-0004-0000-0200-00002E000000}"/>
    <hyperlink ref="D50" r:id="rId48" xr:uid="{00000000-0004-0000-0200-00002F000000}"/>
    <hyperlink ref="D52" r:id="rId49" xr:uid="{00000000-0004-0000-0200-000030000000}"/>
    <hyperlink ref="D53" r:id="rId50" xr:uid="{00000000-0004-0000-0200-000031000000}"/>
    <hyperlink ref="D54" r:id="rId51" xr:uid="{00000000-0004-0000-0200-000032000000}"/>
    <hyperlink ref="D55" r:id="rId52" xr:uid="{00000000-0004-0000-0200-000033000000}"/>
    <hyperlink ref="D56" r:id="rId53" xr:uid="{00000000-0004-0000-0200-000034000000}"/>
    <hyperlink ref="D57" r:id="rId54" xr:uid="{00000000-0004-0000-0200-000035000000}"/>
    <hyperlink ref="D58" r:id="rId55" xr:uid="{00000000-0004-0000-0200-000036000000}"/>
    <hyperlink ref="D59" r:id="rId56" xr:uid="{00000000-0004-0000-0200-000037000000}"/>
    <hyperlink ref="D60" r:id="rId57" xr:uid="{00000000-0004-0000-0200-000038000000}"/>
    <hyperlink ref="D61" r:id="rId58" xr:uid="{00000000-0004-0000-0200-000039000000}"/>
    <hyperlink ref="D62" r:id="rId59" xr:uid="{00000000-0004-0000-0200-00003A000000}"/>
    <hyperlink ref="D63" r:id="rId60" xr:uid="{00000000-0004-0000-0200-00003B000000}"/>
    <hyperlink ref="D64" r:id="rId61" xr:uid="{00000000-0004-0000-0200-00003C000000}"/>
    <hyperlink ref="D65" r:id="rId62" xr:uid="{00000000-0004-0000-0200-00003D000000}"/>
    <hyperlink ref="D66" r:id="rId63" xr:uid="{00000000-0004-0000-0200-00003E000000}"/>
    <hyperlink ref="D67" r:id="rId64" xr:uid="{00000000-0004-0000-0200-00003F000000}"/>
    <hyperlink ref="D68" r:id="rId65" xr:uid="{00000000-0004-0000-0200-000040000000}"/>
    <hyperlink ref="D69" r:id="rId66" xr:uid="{00000000-0004-0000-0200-000041000000}"/>
    <hyperlink ref="D70" r:id="rId67" xr:uid="{00000000-0004-0000-0200-000042000000}"/>
    <hyperlink ref="D71" r:id="rId68" xr:uid="{00000000-0004-0000-0200-000043000000}"/>
    <hyperlink ref="D72" r:id="rId69" xr:uid="{00000000-0004-0000-0200-000044000000}"/>
    <hyperlink ref="D73" r:id="rId70" xr:uid="{00000000-0004-0000-0200-000045000000}"/>
    <hyperlink ref="D74" r:id="rId71" xr:uid="{00000000-0004-0000-0200-000046000000}"/>
    <hyperlink ref="D75" r:id="rId72" xr:uid="{00000000-0004-0000-0200-000047000000}"/>
    <hyperlink ref="D76" r:id="rId73" xr:uid="{00000000-0004-0000-0200-000048000000}"/>
    <hyperlink ref="D77" r:id="rId74" xr:uid="{00000000-0004-0000-0200-000049000000}"/>
    <hyperlink ref="D79" r:id="rId75" xr:uid="{00000000-0004-0000-0200-00004A000000}"/>
    <hyperlink ref="D80" r:id="rId76" xr:uid="{00000000-0004-0000-0200-00004B000000}"/>
    <hyperlink ref="D81" r:id="rId77" xr:uid="{00000000-0004-0000-0200-00004C000000}"/>
    <hyperlink ref="D82" r:id="rId78" xr:uid="{00000000-0004-0000-0200-00004D000000}"/>
    <hyperlink ref="D84" r:id="rId79" xr:uid="{00000000-0004-0000-0200-00004E000000}"/>
    <hyperlink ref="D85" r:id="rId80" xr:uid="{00000000-0004-0000-0200-00004F000000}"/>
    <hyperlink ref="D86" r:id="rId81" xr:uid="{00000000-0004-0000-0200-000050000000}"/>
    <hyperlink ref="D87" r:id="rId82" xr:uid="{00000000-0004-0000-0200-000051000000}"/>
    <hyperlink ref="D88" r:id="rId83" xr:uid="{00000000-0004-0000-0200-000052000000}"/>
    <hyperlink ref="D89" r:id="rId84" xr:uid="{00000000-0004-0000-0200-000053000000}"/>
    <hyperlink ref="D90" r:id="rId85" xr:uid="{00000000-0004-0000-0200-000054000000}"/>
    <hyperlink ref="D91" r:id="rId86" xr:uid="{00000000-0004-0000-0200-000055000000}"/>
    <hyperlink ref="D92" r:id="rId87" xr:uid="{00000000-0004-0000-0200-000056000000}"/>
    <hyperlink ref="D93" r:id="rId88" xr:uid="{00000000-0004-0000-0200-000057000000}"/>
    <hyperlink ref="D94" r:id="rId89" xr:uid="{00000000-0004-0000-0200-000058000000}"/>
    <hyperlink ref="D95" r:id="rId90" xr:uid="{00000000-0004-0000-0200-000059000000}"/>
    <hyperlink ref="D96" r:id="rId91" xr:uid="{00000000-0004-0000-0200-00005A000000}"/>
    <hyperlink ref="D97" r:id="rId92" xr:uid="{00000000-0004-0000-0200-00005B000000}"/>
    <hyperlink ref="D98" r:id="rId93" xr:uid="{00000000-0004-0000-0200-00005C000000}"/>
    <hyperlink ref="D99" r:id="rId94" xr:uid="{00000000-0004-0000-0200-00005D000000}"/>
    <hyperlink ref="D100" r:id="rId95" xr:uid="{00000000-0004-0000-0200-00005E000000}"/>
    <hyperlink ref="D101" r:id="rId96" xr:uid="{00000000-0004-0000-0200-00005F000000}"/>
    <hyperlink ref="D102" r:id="rId97" xr:uid="{00000000-0004-0000-0200-000060000000}"/>
    <hyperlink ref="D103" r:id="rId98" xr:uid="{00000000-0004-0000-0200-000061000000}"/>
    <hyperlink ref="D104" r:id="rId99" xr:uid="{00000000-0004-0000-0200-000062000000}"/>
    <hyperlink ref="D105" r:id="rId100" xr:uid="{00000000-0004-0000-0200-000063000000}"/>
    <hyperlink ref="D106" r:id="rId101" xr:uid="{00000000-0004-0000-0200-000064000000}"/>
    <hyperlink ref="D107" r:id="rId102" xr:uid="{00000000-0004-0000-0200-000065000000}"/>
    <hyperlink ref="D108" r:id="rId103" xr:uid="{00000000-0004-0000-0200-000066000000}"/>
    <hyperlink ref="D109" r:id="rId104" xr:uid="{00000000-0004-0000-0200-000067000000}"/>
    <hyperlink ref="D110" r:id="rId105" xr:uid="{00000000-0004-0000-0200-000068000000}"/>
    <hyperlink ref="D111" r:id="rId106" xr:uid="{00000000-0004-0000-0200-000069000000}"/>
    <hyperlink ref="D112" r:id="rId107" xr:uid="{00000000-0004-0000-0200-00006A000000}"/>
    <hyperlink ref="D113" r:id="rId108" xr:uid="{00000000-0004-0000-0200-00006B000000}"/>
    <hyperlink ref="D114" r:id="rId109" xr:uid="{00000000-0004-0000-0200-00006C000000}"/>
    <hyperlink ref="D115" r:id="rId110" xr:uid="{00000000-0004-0000-0200-00006D000000}"/>
    <hyperlink ref="D116" r:id="rId111" xr:uid="{00000000-0004-0000-0200-00006E000000}"/>
    <hyperlink ref="D117" r:id="rId112" xr:uid="{00000000-0004-0000-0200-00006F000000}"/>
    <hyperlink ref="D118" r:id="rId113" xr:uid="{00000000-0004-0000-0200-000070000000}"/>
    <hyperlink ref="D119" r:id="rId114" xr:uid="{00000000-0004-0000-0200-000071000000}"/>
    <hyperlink ref="D120" r:id="rId115" xr:uid="{00000000-0004-0000-0200-000072000000}"/>
    <hyperlink ref="D121" r:id="rId116" xr:uid="{00000000-0004-0000-0200-000073000000}"/>
    <hyperlink ref="D123" r:id="rId117" xr:uid="{00000000-0004-0000-0200-000074000000}"/>
    <hyperlink ref="D124" r:id="rId118" xr:uid="{00000000-0004-0000-0200-000075000000}"/>
    <hyperlink ref="D125" r:id="rId119" xr:uid="{00000000-0004-0000-0200-000076000000}"/>
    <hyperlink ref="D126" r:id="rId120" xr:uid="{00000000-0004-0000-0200-000077000000}"/>
    <hyperlink ref="D127" r:id="rId121" xr:uid="{00000000-0004-0000-0200-000078000000}"/>
    <hyperlink ref="D128" r:id="rId122" xr:uid="{00000000-0004-0000-0200-000079000000}"/>
    <hyperlink ref="D130" r:id="rId123" xr:uid="{00000000-0004-0000-0200-00007A000000}"/>
    <hyperlink ref="D132" r:id="rId124" xr:uid="{00000000-0004-0000-0200-00007B000000}"/>
    <hyperlink ref="D133" r:id="rId125" xr:uid="{00000000-0004-0000-0200-00007C000000}"/>
    <hyperlink ref="D134" r:id="rId126" xr:uid="{00000000-0004-0000-0200-00007D000000}"/>
    <hyperlink ref="D137" r:id="rId127" xr:uid="{00000000-0004-0000-0200-00007E000000}"/>
    <hyperlink ref="D138" r:id="rId128" xr:uid="{00000000-0004-0000-0200-00007F000000}"/>
    <hyperlink ref="D139" r:id="rId129" xr:uid="{00000000-0004-0000-0200-000080000000}"/>
    <hyperlink ref="D140" r:id="rId130" xr:uid="{00000000-0004-0000-0200-000081000000}"/>
    <hyperlink ref="D141" r:id="rId131" xr:uid="{00000000-0004-0000-0200-000082000000}"/>
    <hyperlink ref="D142" r:id="rId132" xr:uid="{00000000-0004-0000-0200-000083000000}"/>
    <hyperlink ref="D143" r:id="rId133" xr:uid="{00000000-0004-0000-0200-000084000000}"/>
    <hyperlink ref="D144" r:id="rId134" xr:uid="{00000000-0004-0000-0200-000085000000}"/>
    <hyperlink ref="D145" r:id="rId135" xr:uid="{00000000-0004-0000-0200-000086000000}"/>
    <hyperlink ref="D146" r:id="rId136" xr:uid="{00000000-0004-0000-0200-000087000000}"/>
    <hyperlink ref="D147" r:id="rId137" xr:uid="{00000000-0004-0000-0200-000088000000}"/>
    <hyperlink ref="D148" r:id="rId138" xr:uid="{00000000-0004-0000-0200-000089000000}"/>
    <hyperlink ref="D149" r:id="rId139" xr:uid="{00000000-0004-0000-0200-00008A000000}"/>
    <hyperlink ref="D150" r:id="rId140" xr:uid="{00000000-0004-0000-0200-00008B000000}"/>
    <hyperlink ref="D151" r:id="rId141" xr:uid="{00000000-0004-0000-0200-00008C000000}"/>
    <hyperlink ref="D152" r:id="rId142" xr:uid="{00000000-0004-0000-0200-00008D000000}"/>
    <hyperlink ref="D153" r:id="rId143" xr:uid="{00000000-0004-0000-0200-00008E000000}"/>
    <hyperlink ref="D154" r:id="rId144" xr:uid="{00000000-0004-0000-0200-00008F000000}"/>
    <hyperlink ref="D155" r:id="rId145" xr:uid="{00000000-0004-0000-0200-000090000000}"/>
    <hyperlink ref="D156" r:id="rId146" xr:uid="{00000000-0004-0000-0200-000091000000}"/>
    <hyperlink ref="D157" r:id="rId147" xr:uid="{00000000-0004-0000-0200-000092000000}"/>
    <hyperlink ref="D158" r:id="rId148" xr:uid="{00000000-0004-0000-0200-000093000000}"/>
    <hyperlink ref="D159" r:id="rId149" xr:uid="{00000000-0004-0000-0200-000094000000}"/>
    <hyperlink ref="D160" r:id="rId150" xr:uid="{00000000-0004-0000-0200-000095000000}"/>
    <hyperlink ref="D161" r:id="rId151" xr:uid="{00000000-0004-0000-0200-000096000000}"/>
    <hyperlink ref="D162" r:id="rId152" xr:uid="{00000000-0004-0000-0200-000097000000}"/>
    <hyperlink ref="D163" r:id="rId153" xr:uid="{00000000-0004-0000-0200-000098000000}"/>
    <hyperlink ref="D164" r:id="rId154" xr:uid="{00000000-0004-0000-0200-000099000000}"/>
    <hyperlink ref="D165" r:id="rId155" xr:uid="{00000000-0004-0000-0200-00009A000000}"/>
    <hyperlink ref="D166" r:id="rId156" xr:uid="{00000000-0004-0000-0200-00009B000000}"/>
    <hyperlink ref="D167" r:id="rId157" xr:uid="{00000000-0004-0000-0200-00009C000000}"/>
    <hyperlink ref="D168" r:id="rId158" xr:uid="{00000000-0004-0000-0200-00009D000000}"/>
    <hyperlink ref="D169" r:id="rId159" xr:uid="{00000000-0004-0000-0200-00009E000000}"/>
    <hyperlink ref="D172" r:id="rId160" xr:uid="{00000000-0004-0000-0200-00009F000000}"/>
    <hyperlink ref="D173" r:id="rId161" xr:uid="{00000000-0004-0000-0200-0000A0000000}"/>
    <hyperlink ref="D174" r:id="rId162" xr:uid="{00000000-0004-0000-0200-0000A1000000}"/>
    <hyperlink ref="D175" r:id="rId163" xr:uid="{00000000-0004-0000-0200-0000A2000000}"/>
    <hyperlink ref="D176" r:id="rId164" xr:uid="{00000000-0004-0000-0200-0000A3000000}"/>
    <hyperlink ref="D177" r:id="rId165" xr:uid="{00000000-0004-0000-0200-0000A4000000}"/>
    <hyperlink ref="D180" r:id="rId166" xr:uid="{00000000-0004-0000-0200-0000A5000000}"/>
    <hyperlink ref="D182" r:id="rId167" xr:uid="{00000000-0004-0000-0200-0000A6000000}"/>
    <hyperlink ref="D183" r:id="rId168" xr:uid="{00000000-0004-0000-0200-0000A7000000}"/>
    <hyperlink ref="D185" r:id="rId169" xr:uid="{00000000-0004-0000-0200-0000A8000000}"/>
    <hyperlink ref="D186" r:id="rId170" xr:uid="{00000000-0004-0000-0200-0000A9000000}"/>
    <hyperlink ref="D187" r:id="rId171" xr:uid="{00000000-0004-0000-0200-0000AA000000}"/>
    <hyperlink ref="D189" r:id="rId172" xr:uid="{00000000-0004-0000-0200-0000AB000000}"/>
    <hyperlink ref="D190" r:id="rId173" xr:uid="{00000000-0004-0000-0200-0000AC000000}"/>
    <hyperlink ref="D191" r:id="rId174" xr:uid="{00000000-0004-0000-0200-0000AD000000}"/>
    <hyperlink ref="D192" r:id="rId175" xr:uid="{00000000-0004-0000-0200-0000AE000000}"/>
    <hyperlink ref="D193" r:id="rId176" xr:uid="{00000000-0004-0000-0200-0000AF000000}"/>
    <hyperlink ref="D194" r:id="rId177" xr:uid="{00000000-0004-0000-0200-0000B0000000}"/>
    <hyperlink ref="D195" r:id="rId178" xr:uid="{00000000-0004-0000-0200-0000B1000000}"/>
    <hyperlink ref="D196" r:id="rId179" xr:uid="{00000000-0004-0000-0200-0000B2000000}"/>
    <hyperlink ref="D197" r:id="rId180" xr:uid="{00000000-0004-0000-0200-0000B3000000}"/>
    <hyperlink ref="D198" r:id="rId181" xr:uid="{00000000-0004-0000-0200-0000B4000000}"/>
    <hyperlink ref="D199" r:id="rId182" xr:uid="{00000000-0004-0000-0200-0000B5000000}"/>
    <hyperlink ref="D201" r:id="rId183" xr:uid="{00000000-0004-0000-0200-0000B6000000}"/>
    <hyperlink ref="D202" r:id="rId184" xr:uid="{00000000-0004-0000-0200-0000B7000000}"/>
    <hyperlink ref="D203" r:id="rId185" xr:uid="{00000000-0004-0000-0200-0000B8000000}"/>
    <hyperlink ref="D204" r:id="rId186" xr:uid="{00000000-0004-0000-0200-0000B9000000}"/>
    <hyperlink ref="D205" r:id="rId187" xr:uid="{00000000-0004-0000-0200-0000BA000000}"/>
    <hyperlink ref="D206" r:id="rId188" xr:uid="{00000000-0004-0000-0200-0000BB000000}"/>
    <hyperlink ref="D209" r:id="rId189" xr:uid="{00000000-0004-0000-0200-0000BC000000}"/>
    <hyperlink ref="D210" r:id="rId190" xr:uid="{00000000-0004-0000-0200-0000BD000000}"/>
    <hyperlink ref="D211" r:id="rId191" xr:uid="{00000000-0004-0000-0200-0000BE000000}"/>
    <hyperlink ref="D218" r:id="rId192" xr:uid="{00000000-0004-0000-0200-0000BF000000}"/>
    <hyperlink ref="D220" r:id="rId193" xr:uid="{00000000-0004-0000-0200-0000C0000000}"/>
    <hyperlink ref="D222" r:id="rId194" xr:uid="{00000000-0004-0000-0200-0000C1000000}"/>
    <hyperlink ref="D223" r:id="rId195" xr:uid="{00000000-0004-0000-0200-0000C2000000}"/>
    <hyperlink ref="D224" r:id="rId196" xr:uid="{00000000-0004-0000-0200-0000C3000000}"/>
    <hyperlink ref="D225" r:id="rId197" xr:uid="{00000000-0004-0000-0200-0000C4000000}"/>
    <hyperlink ref="D226" r:id="rId198" xr:uid="{00000000-0004-0000-0200-0000C5000000}"/>
    <hyperlink ref="D229" r:id="rId199" xr:uid="{00000000-0004-0000-0200-0000C6000000}"/>
    <hyperlink ref="D230" r:id="rId200" xr:uid="{00000000-0004-0000-0200-0000C7000000}"/>
    <hyperlink ref="D231" r:id="rId201" xr:uid="{00000000-0004-0000-0200-0000C8000000}"/>
    <hyperlink ref="D232" r:id="rId202" xr:uid="{00000000-0004-0000-0200-0000C9000000}"/>
    <hyperlink ref="D233" r:id="rId203" xr:uid="{00000000-0004-0000-0200-0000CA000000}"/>
    <hyperlink ref="D234" r:id="rId204" xr:uid="{00000000-0004-0000-0200-0000CB000000}"/>
    <hyperlink ref="D235" r:id="rId205" xr:uid="{00000000-0004-0000-0200-0000CC000000}"/>
    <hyperlink ref="D236" r:id="rId206" xr:uid="{00000000-0004-0000-0200-0000CD000000}"/>
    <hyperlink ref="D237" r:id="rId207" xr:uid="{00000000-0004-0000-0200-0000CE000000}"/>
    <hyperlink ref="D238" r:id="rId208" xr:uid="{00000000-0004-0000-0200-0000CF000000}"/>
    <hyperlink ref="D239" r:id="rId209" xr:uid="{00000000-0004-0000-0200-0000D0000000}"/>
    <hyperlink ref="D240" r:id="rId210" xr:uid="{00000000-0004-0000-0200-0000D1000000}"/>
    <hyperlink ref="D241" r:id="rId211" xr:uid="{00000000-0004-0000-0200-0000D2000000}"/>
    <hyperlink ref="D242" r:id="rId212" xr:uid="{00000000-0004-0000-0200-0000D3000000}"/>
    <hyperlink ref="D243" r:id="rId213" xr:uid="{00000000-0004-0000-0200-0000D4000000}"/>
    <hyperlink ref="D244" r:id="rId214" xr:uid="{00000000-0004-0000-0200-0000D5000000}"/>
    <hyperlink ref="D245" r:id="rId215" xr:uid="{00000000-0004-0000-0200-0000D6000000}"/>
    <hyperlink ref="D247" r:id="rId216" xr:uid="{00000000-0004-0000-0200-0000D7000000}"/>
    <hyperlink ref="D248" r:id="rId217" xr:uid="{00000000-0004-0000-0200-0000D8000000}"/>
    <hyperlink ref="D250" r:id="rId218" xr:uid="{00000000-0004-0000-0200-0000D9000000}"/>
    <hyperlink ref="D251" r:id="rId219" xr:uid="{00000000-0004-0000-0200-0000DA000000}"/>
    <hyperlink ref="D252" r:id="rId220" xr:uid="{00000000-0004-0000-0200-0000DB000000}"/>
    <hyperlink ref="D253" r:id="rId221" xr:uid="{00000000-0004-0000-0200-0000DC000000}"/>
    <hyperlink ref="D254" r:id="rId222" xr:uid="{00000000-0004-0000-0200-0000DD000000}"/>
    <hyperlink ref="D255" r:id="rId223" xr:uid="{00000000-0004-0000-0200-0000DE000000}"/>
    <hyperlink ref="D257" r:id="rId224" xr:uid="{00000000-0004-0000-0200-0000DF000000}"/>
    <hyperlink ref="D258" r:id="rId225" xr:uid="{00000000-0004-0000-0200-0000E0000000}"/>
    <hyperlink ref="D260" r:id="rId226" xr:uid="{00000000-0004-0000-0200-0000E1000000}"/>
    <hyperlink ref="D261" r:id="rId227" xr:uid="{00000000-0004-0000-0200-0000E2000000}"/>
    <hyperlink ref="D262" r:id="rId228" xr:uid="{00000000-0004-0000-0200-0000E3000000}"/>
    <hyperlink ref="D263" r:id="rId229" xr:uid="{00000000-0004-0000-0200-0000E4000000}"/>
    <hyperlink ref="D264" r:id="rId230" xr:uid="{00000000-0004-0000-0200-0000E5000000}"/>
    <hyperlink ref="D265" r:id="rId231" xr:uid="{00000000-0004-0000-0200-0000E6000000}"/>
    <hyperlink ref="D266" r:id="rId232" xr:uid="{00000000-0004-0000-0200-0000E7000000}"/>
    <hyperlink ref="D267" r:id="rId233" xr:uid="{00000000-0004-0000-0200-0000E8000000}"/>
    <hyperlink ref="D268" r:id="rId234" xr:uid="{00000000-0004-0000-0200-0000E9000000}"/>
    <hyperlink ref="D270" r:id="rId235" xr:uid="{00000000-0004-0000-0200-0000EA000000}"/>
    <hyperlink ref="D271" r:id="rId236" xr:uid="{00000000-0004-0000-0200-0000EB000000}"/>
    <hyperlink ref="D273" r:id="rId237" xr:uid="{00000000-0004-0000-0200-0000EC000000}"/>
    <hyperlink ref="D274" r:id="rId238" xr:uid="{00000000-0004-0000-0200-0000ED000000}"/>
    <hyperlink ref="D275" r:id="rId239" xr:uid="{00000000-0004-0000-0200-0000EE000000}"/>
    <hyperlink ref="D277" r:id="rId240" xr:uid="{00000000-0004-0000-0200-0000EF000000}"/>
    <hyperlink ref="D278" r:id="rId241" xr:uid="{00000000-0004-0000-0200-0000F0000000}"/>
    <hyperlink ref="D279" r:id="rId242" xr:uid="{00000000-0004-0000-0200-0000F1000000}"/>
    <hyperlink ref="D280" r:id="rId243" xr:uid="{00000000-0004-0000-0200-0000F2000000}"/>
    <hyperlink ref="D282" r:id="rId244" xr:uid="{00000000-0004-0000-0200-0000F3000000}"/>
    <hyperlink ref="D283" r:id="rId245" xr:uid="{00000000-0004-0000-0200-0000F4000000}"/>
    <hyperlink ref="D284" r:id="rId246" xr:uid="{00000000-0004-0000-0200-0000F5000000}"/>
    <hyperlink ref="D285" r:id="rId247" xr:uid="{00000000-0004-0000-0200-0000F6000000}"/>
    <hyperlink ref="D286" r:id="rId248" xr:uid="{00000000-0004-0000-0200-0000F7000000}"/>
    <hyperlink ref="D288" r:id="rId249" xr:uid="{00000000-0004-0000-0200-0000F8000000}"/>
    <hyperlink ref="D289" r:id="rId250" xr:uid="{00000000-0004-0000-0200-0000F9000000}"/>
    <hyperlink ref="D290" r:id="rId251" xr:uid="{00000000-0004-0000-0200-0000FA000000}"/>
    <hyperlink ref="D291" r:id="rId252" xr:uid="{00000000-0004-0000-0200-0000FB000000}"/>
    <hyperlink ref="D292" r:id="rId253" xr:uid="{00000000-0004-0000-0200-0000FC000000}"/>
    <hyperlink ref="D293" r:id="rId254" xr:uid="{00000000-0004-0000-0200-0000FD000000}"/>
    <hyperlink ref="D294" r:id="rId255" xr:uid="{00000000-0004-0000-0200-0000FE000000}"/>
    <hyperlink ref="D295" r:id="rId256" xr:uid="{00000000-0004-0000-0200-0000FF000000}"/>
    <hyperlink ref="D296" r:id="rId257" xr:uid="{00000000-0004-0000-0200-000000010000}"/>
    <hyperlink ref="D298" r:id="rId258" xr:uid="{00000000-0004-0000-0200-000001010000}"/>
    <hyperlink ref="D299" r:id="rId259" xr:uid="{00000000-0004-0000-0200-000002010000}"/>
    <hyperlink ref="D300" r:id="rId260" xr:uid="{00000000-0004-0000-0200-000003010000}"/>
    <hyperlink ref="D302" r:id="rId261" xr:uid="{00000000-0004-0000-0200-000004010000}"/>
    <hyperlink ref="D303" r:id="rId262" xr:uid="{00000000-0004-0000-0200-000005010000}"/>
    <hyperlink ref="D304" r:id="rId263" xr:uid="{00000000-0004-0000-0200-000006010000}"/>
    <hyperlink ref="D305" r:id="rId264" xr:uid="{00000000-0004-0000-0200-000007010000}"/>
    <hyperlink ref="D306" r:id="rId265" xr:uid="{00000000-0004-0000-0200-000008010000}"/>
    <hyperlink ref="D307" r:id="rId266" xr:uid="{00000000-0004-0000-0200-000009010000}"/>
    <hyperlink ref="D308" r:id="rId267" xr:uid="{00000000-0004-0000-0200-00000A010000}"/>
    <hyperlink ref="D309" r:id="rId268" xr:uid="{00000000-0004-0000-0200-00000B010000}"/>
    <hyperlink ref="D310" r:id="rId269" xr:uid="{00000000-0004-0000-0200-00000C010000}"/>
    <hyperlink ref="D311" r:id="rId270" xr:uid="{00000000-0004-0000-0200-00000D010000}"/>
    <hyperlink ref="D312" r:id="rId271" xr:uid="{00000000-0004-0000-0200-00000E010000}"/>
    <hyperlink ref="D313" r:id="rId272" xr:uid="{00000000-0004-0000-0200-00000F010000}"/>
    <hyperlink ref="D314" r:id="rId273" xr:uid="{00000000-0004-0000-0200-000010010000}"/>
    <hyperlink ref="D315" r:id="rId274" xr:uid="{00000000-0004-0000-0200-000011010000}"/>
    <hyperlink ref="D316" r:id="rId275" xr:uid="{00000000-0004-0000-0200-000012010000}"/>
    <hyperlink ref="D317" r:id="rId276" xr:uid="{00000000-0004-0000-0200-000013010000}"/>
    <hyperlink ref="D318" r:id="rId277" xr:uid="{00000000-0004-0000-0200-000014010000}"/>
    <hyperlink ref="D319" r:id="rId278" xr:uid="{00000000-0004-0000-0200-000015010000}"/>
    <hyperlink ref="D320" r:id="rId279" xr:uid="{00000000-0004-0000-0200-000016010000}"/>
    <hyperlink ref="D321" r:id="rId280" xr:uid="{00000000-0004-0000-0200-000017010000}"/>
    <hyperlink ref="D323" r:id="rId281" xr:uid="{00000000-0004-0000-0200-000018010000}"/>
    <hyperlink ref="D324" r:id="rId282" xr:uid="{00000000-0004-0000-0200-000019010000}"/>
    <hyperlink ref="D325" r:id="rId283" xr:uid="{00000000-0004-0000-0200-00001A010000}"/>
    <hyperlink ref="D326" r:id="rId284" xr:uid="{00000000-0004-0000-0200-00001B010000}"/>
    <hyperlink ref="D327" r:id="rId285" xr:uid="{00000000-0004-0000-0200-00001C010000}"/>
    <hyperlink ref="D328" r:id="rId286" xr:uid="{00000000-0004-0000-0200-00001D010000}"/>
    <hyperlink ref="D329" r:id="rId287" xr:uid="{00000000-0004-0000-0200-00001E010000}"/>
    <hyperlink ref="D330" r:id="rId288" xr:uid="{00000000-0004-0000-0200-00001F010000}"/>
    <hyperlink ref="D331" r:id="rId289" xr:uid="{00000000-0004-0000-0200-000020010000}"/>
    <hyperlink ref="D333" r:id="rId290" xr:uid="{00000000-0004-0000-0200-000021010000}"/>
    <hyperlink ref="D334" r:id="rId291" xr:uid="{00000000-0004-0000-0200-000022010000}"/>
    <hyperlink ref="D335" r:id="rId292" xr:uid="{00000000-0004-0000-0200-000023010000}"/>
    <hyperlink ref="D336" r:id="rId293" xr:uid="{00000000-0004-0000-0200-000024010000}"/>
    <hyperlink ref="D337" r:id="rId294" xr:uid="{00000000-0004-0000-0200-000025010000}"/>
    <hyperlink ref="D338" r:id="rId295" xr:uid="{00000000-0004-0000-0200-000026010000}"/>
    <hyperlink ref="D339" r:id="rId296" xr:uid="{00000000-0004-0000-0200-000027010000}"/>
    <hyperlink ref="D340" r:id="rId297" xr:uid="{00000000-0004-0000-0200-000028010000}"/>
    <hyperlink ref="D341" r:id="rId298" xr:uid="{00000000-0004-0000-0200-000029010000}"/>
    <hyperlink ref="D343" r:id="rId299" xr:uid="{00000000-0004-0000-0200-00002A010000}"/>
    <hyperlink ref="D344" r:id="rId300" xr:uid="{00000000-0004-0000-0200-00002B010000}"/>
    <hyperlink ref="D345" r:id="rId301" xr:uid="{00000000-0004-0000-0200-00002C010000}"/>
    <hyperlink ref="D346" r:id="rId302" xr:uid="{00000000-0004-0000-0200-00002D010000}"/>
    <hyperlink ref="D348" r:id="rId303" xr:uid="{00000000-0004-0000-0200-00002E010000}"/>
    <hyperlink ref="D349" r:id="rId304" xr:uid="{00000000-0004-0000-0200-00002F010000}"/>
    <hyperlink ref="D351" r:id="rId305" xr:uid="{00000000-0004-0000-0200-000030010000}"/>
    <hyperlink ref="D352" r:id="rId306" xr:uid="{00000000-0004-0000-0200-000031010000}"/>
    <hyperlink ref="D353" r:id="rId307" xr:uid="{00000000-0004-0000-0200-000032010000}"/>
    <hyperlink ref="D355" r:id="rId308" xr:uid="{00000000-0004-0000-0200-000033010000}"/>
    <hyperlink ref="D358" r:id="rId309" xr:uid="{00000000-0004-0000-0200-000034010000}"/>
    <hyperlink ref="D359" r:id="rId310" xr:uid="{00000000-0004-0000-0200-000035010000}"/>
    <hyperlink ref="D360" r:id="rId311" xr:uid="{00000000-0004-0000-0200-000036010000}"/>
    <hyperlink ref="D361" r:id="rId312" xr:uid="{00000000-0004-0000-0200-000037010000}"/>
    <hyperlink ref="D362" r:id="rId313" xr:uid="{00000000-0004-0000-0200-000038010000}"/>
    <hyperlink ref="D363" r:id="rId314" xr:uid="{00000000-0004-0000-0200-000039010000}"/>
    <hyperlink ref="D364" r:id="rId315" xr:uid="{00000000-0004-0000-0200-00003A010000}"/>
    <hyperlink ref="D365" r:id="rId316" xr:uid="{00000000-0004-0000-0200-00003B010000}"/>
    <hyperlink ref="D366" r:id="rId317" xr:uid="{00000000-0004-0000-0200-00003C010000}"/>
    <hyperlink ref="D368" r:id="rId318" xr:uid="{00000000-0004-0000-0200-00003D010000}"/>
    <hyperlink ref="D369" r:id="rId319" xr:uid="{00000000-0004-0000-0200-00003E010000}"/>
    <hyperlink ref="D370" r:id="rId320" xr:uid="{00000000-0004-0000-0200-00003F010000}"/>
    <hyperlink ref="D371" r:id="rId321" xr:uid="{00000000-0004-0000-0200-000040010000}"/>
    <hyperlink ref="D373" r:id="rId322" xr:uid="{00000000-0004-0000-0200-000041010000}"/>
    <hyperlink ref="D374" r:id="rId323" xr:uid="{00000000-0004-0000-0200-000042010000}"/>
    <hyperlink ref="D376" r:id="rId324" xr:uid="{00000000-0004-0000-0200-000043010000}"/>
    <hyperlink ref="D377" r:id="rId325" xr:uid="{00000000-0004-0000-0200-000044010000}"/>
    <hyperlink ref="D378" r:id="rId326" xr:uid="{00000000-0004-0000-0200-000045010000}"/>
    <hyperlink ref="D379" r:id="rId327" xr:uid="{00000000-0004-0000-0200-000046010000}"/>
    <hyperlink ref="D380" r:id="rId328" xr:uid="{00000000-0004-0000-0200-000047010000}"/>
    <hyperlink ref="D381" r:id="rId329" xr:uid="{00000000-0004-0000-0200-000048010000}"/>
    <hyperlink ref="D382" r:id="rId330" xr:uid="{00000000-0004-0000-0200-000049010000}"/>
    <hyperlink ref="D383" r:id="rId331" xr:uid="{00000000-0004-0000-0200-00004A010000}"/>
    <hyperlink ref="D387" r:id="rId332" xr:uid="{00000000-0004-0000-0200-00004B010000}"/>
    <hyperlink ref="D388" r:id="rId333" xr:uid="{00000000-0004-0000-0200-00004C010000}"/>
    <hyperlink ref="D389" r:id="rId334" xr:uid="{00000000-0004-0000-0200-00004D010000}"/>
    <hyperlink ref="D391" r:id="rId335" xr:uid="{00000000-0004-0000-0200-00004E010000}"/>
    <hyperlink ref="D392" r:id="rId336" xr:uid="{00000000-0004-0000-0200-00004F010000}"/>
    <hyperlink ref="D394" r:id="rId337" xr:uid="{00000000-0004-0000-0200-000050010000}"/>
    <hyperlink ref="D396" r:id="rId338" xr:uid="{00000000-0004-0000-0200-000051010000}"/>
    <hyperlink ref="D397" r:id="rId339" xr:uid="{00000000-0004-0000-0200-000052010000}"/>
    <hyperlink ref="D398" r:id="rId340" xr:uid="{00000000-0004-0000-0200-000053010000}"/>
    <hyperlink ref="D399" r:id="rId341" xr:uid="{00000000-0004-0000-0200-000054010000}"/>
    <hyperlink ref="D402" r:id="rId342" xr:uid="{00000000-0004-0000-0200-000055010000}"/>
    <hyperlink ref="D403" r:id="rId343" xr:uid="{00000000-0004-0000-0200-000056010000}"/>
    <hyperlink ref="D404" r:id="rId344" xr:uid="{00000000-0004-0000-0200-000057010000}"/>
    <hyperlink ref="D405" r:id="rId345" xr:uid="{00000000-0004-0000-0200-000058010000}"/>
    <hyperlink ref="D407" r:id="rId346" xr:uid="{00000000-0004-0000-0200-000059010000}"/>
    <hyperlink ref="D408" r:id="rId347" xr:uid="{00000000-0004-0000-0200-00005A010000}"/>
    <hyperlink ref="D409" r:id="rId348" xr:uid="{00000000-0004-0000-0200-00005B010000}"/>
    <hyperlink ref="D410" r:id="rId349" xr:uid="{00000000-0004-0000-0200-00005C010000}"/>
    <hyperlink ref="D411" r:id="rId350" xr:uid="{00000000-0004-0000-0200-00005D010000}"/>
    <hyperlink ref="D412" r:id="rId351" xr:uid="{00000000-0004-0000-0200-00005E010000}"/>
    <hyperlink ref="D413" r:id="rId352" xr:uid="{00000000-0004-0000-0200-00005F010000}"/>
    <hyperlink ref="D414" r:id="rId353" xr:uid="{00000000-0004-0000-0200-000060010000}"/>
    <hyperlink ref="D415" r:id="rId354" xr:uid="{00000000-0004-0000-0200-000061010000}"/>
    <hyperlink ref="D416" r:id="rId355" xr:uid="{00000000-0004-0000-0200-000062010000}"/>
    <hyperlink ref="D417" r:id="rId356" xr:uid="{00000000-0004-0000-0200-000063010000}"/>
    <hyperlink ref="D418" r:id="rId357" xr:uid="{00000000-0004-0000-0200-000064010000}"/>
    <hyperlink ref="D419" r:id="rId358" xr:uid="{00000000-0004-0000-0200-000065010000}"/>
    <hyperlink ref="D420" r:id="rId359" xr:uid="{00000000-0004-0000-0200-000066010000}"/>
    <hyperlink ref="D421" r:id="rId360" xr:uid="{00000000-0004-0000-0200-000067010000}"/>
    <hyperlink ref="D422" r:id="rId361" xr:uid="{00000000-0004-0000-0200-000068010000}"/>
    <hyperlink ref="D423" r:id="rId362" xr:uid="{00000000-0004-0000-0200-000069010000}"/>
    <hyperlink ref="D425" r:id="rId363" xr:uid="{00000000-0004-0000-0200-00006A010000}"/>
    <hyperlink ref="D426" r:id="rId364" xr:uid="{00000000-0004-0000-0200-00006B010000}"/>
    <hyperlink ref="D427" r:id="rId365" xr:uid="{00000000-0004-0000-0200-00006C010000}"/>
    <hyperlink ref="D428" r:id="rId366" xr:uid="{00000000-0004-0000-0200-00006D010000}"/>
    <hyperlink ref="D429" r:id="rId367" xr:uid="{00000000-0004-0000-0200-00006E010000}"/>
    <hyperlink ref="D430" r:id="rId368" xr:uid="{00000000-0004-0000-0200-00006F010000}"/>
    <hyperlink ref="D432" r:id="rId369" xr:uid="{00000000-0004-0000-0200-000070010000}"/>
    <hyperlink ref="D433" r:id="rId370" xr:uid="{00000000-0004-0000-0200-000071010000}"/>
    <hyperlink ref="D434" r:id="rId371" xr:uid="{00000000-0004-0000-0200-000072010000}"/>
    <hyperlink ref="D435" r:id="rId372" xr:uid="{00000000-0004-0000-0200-000073010000}"/>
    <hyperlink ref="D436" r:id="rId373" xr:uid="{00000000-0004-0000-0200-000074010000}"/>
    <hyperlink ref="D437" r:id="rId374" xr:uid="{00000000-0004-0000-0200-000075010000}"/>
    <hyperlink ref="D438" r:id="rId375" xr:uid="{00000000-0004-0000-0200-000076010000}"/>
    <hyperlink ref="D439" r:id="rId376" xr:uid="{00000000-0004-0000-0200-000077010000}"/>
    <hyperlink ref="D440" r:id="rId377" xr:uid="{00000000-0004-0000-0200-000078010000}"/>
    <hyperlink ref="D441" r:id="rId378" xr:uid="{00000000-0004-0000-0200-000079010000}"/>
    <hyperlink ref="D442" r:id="rId379" xr:uid="{00000000-0004-0000-0200-00007A010000}"/>
    <hyperlink ref="D443" r:id="rId380" xr:uid="{00000000-0004-0000-0200-00007B010000}"/>
    <hyperlink ref="D444" r:id="rId381" xr:uid="{00000000-0004-0000-0200-00007C010000}"/>
    <hyperlink ref="D445" r:id="rId382" xr:uid="{00000000-0004-0000-0200-00007D010000}"/>
    <hyperlink ref="D446" r:id="rId383" xr:uid="{00000000-0004-0000-0200-00007E010000}"/>
    <hyperlink ref="D447" r:id="rId384" xr:uid="{00000000-0004-0000-0200-00007F010000}"/>
    <hyperlink ref="D448" r:id="rId385" xr:uid="{00000000-0004-0000-0200-000080010000}"/>
    <hyperlink ref="D449" r:id="rId386" xr:uid="{00000000-0004-0000-0200-000081010000}"/>
    <hyperlink ref="D450" r:id="rId387" xr:uid="{00000000-0004-0000-0200-000082010000}"/>
    <hyperlink ref="D451" r:id="rId388" xr:uid="{00000000-0004-0000-0200-000083010000}"/>
    <hyperlink ref="D452" r:id="rId389" xr:uid="{00000000-0004-0000-0200-000084010000}"/>
    <hyperlink ref="D455" r:id="rId390" xr:uid="{00000000-0004-0000-0200-000085010000}"/>
    <hyperlink ref="D456" r:id="rId391" xr:uid="{00000000-0004-0000-0200-000086010000}"/>
    <hyperlink ref="D459" r:id="rId392" xr:uid="{00000000-0004-0000-0200-000087010000}"/>
    <hyperlink ref="D460" r:id="rId393" xr:uid="{00000000-0004-0000-0200-000088010000}"/>
    <hyperlink ref="D461" r:id="rId394" xr:uid="{00000000-0004-0000-0200-000089010000}"/>
    <hyperlink ref="D462" r:id="rId395" xr:uid="{00000000-0004-0000-0200-00008A010000}"/>
    <hyperlink ref="D463" r:id="rId396" xr:uid="{00000000-0004-0000-0200-00008B010000}"/>
    <hyperlink ref="D464" r:id="rId397" xr:uid="{00000000-0004-0000-0200-00008C010000}"/>
    <hyperlink ref="D465" r:id="rId398" xr:uid="{00000000-0004-0000-0200-00008D010000}"/>
    <hyperlink ref="D466" r:id="rId399" xr:uid="{00000000-0004-0000-0200-00008E010000}"/>
    <hyperlink ref="D467" r:id="rId400" xr:uid="{00000000-0004-0000-0200-00008F010000}"/>
    <hyperlink ref="D468" r:id="rId401" xr:uid="{00000000-0004-0000-0200-000090010000}"/>
    <hyperlink ref="D469" r:id="rId402" xr:uid="{00000000-0004-0000-0200-000091010000}"/>
    <hyperlink ref="D470" r:id="rId403" xr:uid="{00000000-0004-0000-0200-000092010000}"/>
    <hyperlink ref="D471" r:id="rId404" xr:uid="{00000000-0004-0000-0200-000093010000}"/>
    <hyperlink ref="D472" r:id="rId405" xr:uid="{00000000-0004-0000-0200-000094010000}"/>
    <hyperlink ref="D473" r:id="rId406" xr:uid="{00000000-0004-0000-0200-000095010000}"/>
    <hyperlink ref="D475" r:id="rId407" xr:uid="{00000000-0004-0000-0200-000096010000}"/>
    <hyperlink ref="D476" r:id="rId408" xr:uid="{00000000-0004-0000-0200-000097010000}"/>
    <hyperlink ref="D478" r:id="rId409" xr:uid="{00000000-0004-0000-0200-000098010000}"/>
    <hyperlink ref="D480" r:id="rId410" xr:uid="{00000000-0004-0000-0200-000099010000}"/>
    <hyperlink ref="D481" r:id="rId411" xr:uid="{00000000-0004-0000-0200-00009A010000}"/>
    <hyperlink ref="D482" r:id="rId412" xr:uid="{00000000-0004-0000-0200-00009B010000}"/>
    <hyperlink ref="D483" r:id="rId413" xr:uid="{00000000-0004-0000-0200-00009C010000}"/>
    <hyperlink ref="D484" r:id="rId414" xr:uid="{00000000-0004-0000-0200-00009D010000}"/>
    <hyperlink ref="D485" r:id="rId415" xr:uid="{00000000-0004-0000-0200-00009E010000}"/>
    <hyperlink ref="D486" r:id="rId416" xr:uid="{00000000-0004-0000-0200-00009F010000}"/>
    <hyperlink ref="D489" r:id="rId417" xr:uid="{00000000-0004-0000-0200-0000A0010000}"/>
    <hyperlink ref="D490" r:id="rId418" xr:uid="{00000000-0004-0000-0200-0000A1010000}"/>
    <hyperlink ref="D491" r:id="rId419" xr:uid="{00000000-0004-0000-0200-0000A2010000}"/>
    <hyperlink ref="D492" r:id="rId420" xr:uid="{00000000-0004-0000-0200-0000A3010000}"/>
    <hyperlink ref="D494" r:id="rId421" xr:uid="{00000000-0004-0000-0200-0000A4010000}"/>
    <hyperlink ref="D495" r:id="rId422" xr:uid="{00000000-0004-0000-0200-0000A5010000}"/>
    <hyperlink ref="D497" r:id="rId423" xr:uid="{00000000-0004-0000-0200-0000A6010000}"/>
    <hyperlink ref="D498" r:id="rId424" xr:uid="{00000000-0004-0000-0200-0000A7010000}"/>
    <hyperlink ref="D499" r:id="rId425" xr:uid="{00000000-0004-0000-0200-0000A8010000}"/>
    <hyperlink ref="D501" r:id="rId426" xr:uid="{00000000-0004-0000-0200-0000A9010000}"/>
    <hyperlink ref="D502" r:id="rId427" xr:uid="{00000000-0004-0000-0200-0000AA010000}"/>
    <hyperlink ref="D504" r:id="rId428" xr:uid="{00000000-0004-0000-0200-0000AB010000}"/>
    <hyperlink ref="D505" r:id="rId429" xr:uid="{00000000-0004-0000-0200-0000AC010000}"/>
    <hyperlink ref="D506" r:id="rId430" xr:uid="{00000000-0004-0000-0200-0000AD010000}"/>
    <hyperlink ref="D507" r:id="rId431" xr:uid="{00000000-0004-0000-0200-0000AE010000}"/>
    <hyperlink ref="D508" r:id="rId432" xr:uid="{00000000-0004-0000-0200-0000AF010000}"/>
    <hyperlink ref="D512" r:id="rId433" xr:uid="{00000000-0004-0000-0200-0000B0010000}"/>
    <hyperlink ref="D515" r:id="rId434" xr:uid="{00000000-0004-0000-0200-0000B1010000}"/>
    <hyperlink ref="D516" r:id="rId435" xr:uid="{00000000-0004-0000-0200-0000B2010000}"/>
    <hyperlink ref="D517" r:id="rId436" xr:uid="{00000000-0004-0000-0200-0000B3010000}"/>
    <hyperlink ref="D518" r:id="rId437" xr:uid="{00000000-0004-0000-0200-0000B4010000}"/>
    <hyperlink ref="D519" r:id="rId438" xr:uid="{00000000-0004-0000-0200-0000B5010000}"/>
    <hyperlink ref="D520" r:id="rId439" xr:uid="{00000000-0004-0000-0200-0000B6010000}"/>
    <hyperlink ref="D521" r:id="rId440" xr:uid="{00000000-0004-0000-0200-0000B7010000}"/>
    <hyperlink ref="D524" r:id="rId441" xr:uid="{00000000-0004-0000-0200-0000B8010000}"/>
    <hyperlink ref="D525" r:id="rId442" xr:uid="{00000000-0004-0000-0200-0000B9010000}"/>
    <hyperlink ref="D526" r:id="rId443" xr:uid="{00000000-0004-0000-0200-0000BA010000}"/>
    <hyperlink ref="D527" r:id="rId444" xr:uid="{00000000-0004-0000-0200-0000BB010000}"/>
    <hyperlink ref="D528" r:id="rId445" xr:uid="{00000000-0004-0000-0200-0000BC010000}"/>
    <hyperlink ref="D529" r:id="rId446" xr:uid="{00000000-0004-0000-0200-0000BD010000}"/>
    <hyperlink ref="D530" r:id="rId447" xr:uid="{00000000-0004-0000-0200-0000BE010000}"/>
    <hyperlink ref="D531" r:id="rId448" xr:uid="{00000000-0004-0000-0200-0000BF010000}"/>
    <hyperlink ref="D532" r:id="rId449" xr:uid="{00000000-0004-0000-0200-0000C0010000}"/>
    <hyperlink ref="D533" r:id="rId450" xr:uid="{00000000-0004-0000-0200-0000C1010000}"/>
    <hyperlink ref="D534" r:id="rId451" xr:uid="{00000000-0004-0000-0200-0000C2010000}"/>
    <hyperlink ref="D535" r:id="rId452" xr:uid="{00000000-0004-0000-0200-0000C3010000}"/>
    <hyperlink ref="D536" r:id="rId453" xr:uid="{00000000-0004-0000-0200-0000C4010000}"/>
    <hyperlink ref="D537" r:id="rId454" xr:uid="{00000000-0004-0000-0200-0000C5010000}"/>
    <hyperlink ref="D538" r:id="rId455" xr:uid="{00000000-0004-0000-0200-0000C6010000}"/>
    <hyperlink ref="D540" r:id="rId456" xr:uid="{00000000-0004-0000-0200-0000C7010000}"/>
    <hyperlink ref="D541" r:id="rId457" xr:uid="{00000000-0004-0000-0200-0000C8010000}"/>
    <hyperlink ref="D542" r:id="rId458" xr:uid="{00000000-0004-0000-0200-0000C9010000}"/>
    <hyperlink ref="D543" r:id="rId459" xr:uid="{00000000-0004-0000-0200-0000CA010000}"/>
    <hyperlink ref="D544" r:id="rId460" xr:uid="{00000000-0004-0000-0200-0000CB010000}"/>
    <hyperlink ref="D545" r:id="rId461" xr:uid="{00000000-0004-0000-0200-0000CC010000}"/>
    <hyperlink ref="D546" r:id="rId462" xr:uid="{00000000-0004-0000-0200-0000CD010000}"/>
    <hyperlink ref="D547" r:id="rId463" xr:uid="{00000000-0004-0000-0200-0000CE010000}"/>
    <hyperlink ref="D548" r:id="rId464" xr:uid="{00000000-0004-0000-0200-0000CF010000}"/>
    <hyperlink ref="D549" r:id="rId465" xr:uid="{00000000-0004-0000-0200-0000D0010000}"/>
    <hyperlink ref="D550" r:id="rId466" xr:uid="{00000000-0004-0000-0200-0000D1010000}"/>
    <hyperlink ref="D551" r:id="rId467" xr:uid="{00000000-0004-0000-0200-0000D2010000}"/>
    <hyperlink ref="D552" r:id="rId468" xr:uid="{00000000-0004-0000-0200-0000D3010000}"/>
    <hyperlink ref="D553" r:id="rId469" xr:uid="{00000000-0004-0000-0200-0000D4010000}"/>
    <hyperlink ref="D555" r:id="rId470" xr:uid="{00000000-0004-0000-0200-0000D5010000}"/>
    <hyperlink ref="D556" r:id="rId471" xr:uid="{00000000-0004-0000-0200-0000D6010000}"/>
    <hyperlink ref="D557" r:id="rId472" xr:uid="{00000000-0004-0000-0200-0000D7010000}"/>
    <hyperlink ref="D558" r:id="rId473" xr:uid="{00000000-0004-0000-0200-0000D8010000}"/>
    <hyperlink ref="D559" r:id="rId474" xr:uid="{00000000-0004-0000-0200-0000D9010000}"/>
    <hyperlink ref="D560" r:id="rId475" xr:uid="{00000000-0004-0000-0200-0000DA010000}"/>
    <hyperlink ref="D561" r:id="rId476" xr:uid="{00000000-0004-0000-0200-0000DB010000}"/>
    <hyperlink ref="D562" r:id="rId477" xr:uid="{00000000-0004-0000-0200-0000DC010000}"/>
    <hyperlink ref="D563" r:id="rId478" xr:uid="{00000000-0004-0000-0200-0000DD010000}"/>
    <hyperlink ref="D564" r:id="rId479" xr:uid="{00000000-0004-0000-0200-0000DE010000}"/>
    <hyperlink ref="D565" r:id="rId480" xr:uid="{00000000-0004-0000-0200-0000DF010000}"/>
    <hyperlink ref="D566" r:id="rId481" xr:uid="{00000000-0004-0000-0200-0000E0010000}"/>
    <hyperlink ref="D567" r:id="rId482" xr:uid="{00000000-0004-0000-0200-0000E1010000}"/>
    <hyperlink ref="D568" r:id="rId483" xr:uid="{00000000-0004-0000-0200-0000E2010000}"/>
    <hyperlink ref="D569" r:id="rId484" xr:uid="{00000000-0004-0000-0200-0000E3010000}"/>
    <hyperlink ref="D570" r:id="rId485" xr:uid="{00000000-0004-0000-0200-0000E4010000}"/>
    <hyperlink ref="D571" r:id="rId486" xr:uid="{00000000-0004-0000-0200-0000E5010000}"/>
    <hyperlink ref="D572" r:id="rId487" xr:uid="{00000000-0004-0000-0200-0000E6010000}"/>
    <hyperlink ref="D573" r:id="rId488" xr:uid="{00000000-0004-0000-0200-0000E7010000}"/>
    <hyperlink ref="D574" r:id="rId489" xr:uid="{00000000-0004-0000-0200-0000E8010000}"/>
    <hyperlink ref="D575" r:id="rId490" xr:uid="{00000000-0004-0000-0200-0000E9010000}"/>
    <hyperlink ref="D576" r:id="rId491" xr:uid="{00000000-0004-0000-0200-0000EA010000}"/>
    <hyperlink ref="D577" r:id="rId492" xr:uid="{00000000-0004-0000-0200-0000EB010000}"/>
    <hyperlink ref="D578" r:id="rId493" xr:uid="{00000000-0004-0000-0200-0000EC010000}"/>
    <hyperlink ref="D579" r:id="rId494" xr:uid="{00000000-0004-0000-0200-0000ED010000}"/>
    <hyperlink ref="D580" r:id="rId495" xr:uid="{00000000-0004-0000-0200-0000EE010000}"/>
    <hyperlink ref="D581" r:id="rId496" xr:uid="{00000000-0004-0000-0200-0000EF010000}"/>
    <hyperlink ref="D582" r:id="rId497" xr:uid="{00000000-0004-0000-0200-0000F0010000}"/>
    <hyperlink ref="D583" r:id="rId498" xr:uid="{00000000-0004-0000-0200-0000F1010000}"/>
    <hyperlink ref="D584" r:id="rId499" xr:uid="{00000000-0004-0000-0200-0000F2010000}"/>
    <hyperlink ref="D585" r:id="rId500" xr:uid="{00000000-0004-0000-0200-0000F3010000}"/>
    <hyperlink ref="D586" r:id="rId501" xr:uid="{00000000-0004-0000-0200-0000F4010000}"/>
    <hyperlink ref="D587" r:id="rId502" xr:uid="{00000000-0004-0000-0200-0000F5010000}"/>
    <hyperlink ref="D588" r:id="rId503" xr:uid="{00000000-0004-0000-0200-0000F6010000}"/>
    <hyperlink ref="D589" r:id="rId504" xr:uid="{00000000-0004-0000-0200-0000F7010000}"/>
    <hyperlink ref="D590" r:id="rId505" xr:uid="{00000000-0004-0000-0200-0000F8010000}"/>
    <hyperlink ref="D591" r:id="rId506" xr:uid="{00000000-0004-0000-0200-0000F9010000}"/>
    <hyperlink ref="D592" r:id="rId507" xr:uid="{00000000-0004-0000-0200-0000FA010000}"/>
    <hyperlink ref="D593" r:id="rId508" xr:uid="{00000000-0004-0000-0200-0000FB010000}"/>
    <hyperlink ref="D594" r:id="rId509" xr:uid="{00000000-0004-0000-0200-0000FC010000}"/>
    <hyperlink ref="D595" r:id="rId510" xr:uid="{00000000-0004-0000-0200-0000FD010000}"/>
    <hyperlink ref="D596" r:id="rId511" xr:uid="{00000000-0004-0000-0200-0000FE010000}"/>
    <hyperlink ref="D597" r:id="rId512" xr:uid="{00000000-0004-0000-0200-0000FF010000}"/>
    <hyperlink ref="D598" r:id="rId513" xr:uid="{00000000-0004-0000-0200-000000020000}"/>
    <hyperlink ref="D599" r:id="rId514" xr:uid="{00000000-0004-0000-0200-000001020000}"/>
    <hyperlink ref="D600" r:id="rId515" xr:uid="{00000000-0004-0000-0200-000002020000}"/>
    <hyperlink ref="D601" r:id="rId516" xr:uid="{00000000-0004-0000-0200-000003020000}"/>
    <hyperlink ref="D602" r:id="rId517" xr:uid="{00000000-0004-0000-0200-000004020000}"/>
    <hyperlink ref="D603" r:id="rId518" xr:uid="{00000000-0004-0000-0200-000005020000}"/>
    <hyperlink ref="D604" r:id="rId519" xr:uid="{00000000-0004-0000-0200-000006020000}"/>
    <hyperlink ref="D605" r:id="rId520" xr:uid="{00000000-0004-0000-0200-000007020000}"/>
  </hyperlink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defaultColWidth="10.90625" defaultRowHeight="12.5"/>
  <cols>
    <col min="3" max="3" width="78.6328125" customWidth="1"/>
  </cols>
  <sheetData>
    <row r="1" spans="1:8" ht="13" customHeight="1">
      <c r="A1" s="17" t="s">
        <v>220</v>
      </c>
      <c r="B1" s="17" t="s">
        <v>201</v>
      </c>
      <c r="C1" s="67" t="s">
        <v>5</v>
      </c>
      <c r="D1" s="17" t="s">
        <v>2</v>
      </c>
      <c r="E1" s="17" t="s">
        <v>3</v>
      </c>
      <c r="F1" s="17" t="s">
        <v>4</v>
      </c>
      <c r="G1" s="17" t="s">
        <v>6</v>
      </c>
      <c r="H1" s="17" t="s">
        <v>221</v>
      </c>
    </row>
    <row r="2" spans="1:8" ht="15.75" customHeight="1">
      <c r="A2" s="20" t="s">
        <v>224</v>
      </c>
      <c r="B2" s="20" t="s">
        <v>225</v>
      </c>
      <c r="C2" s="68" t="s">
        <v>226</v>
      </c>
      <c r="D2" s="20" t="s">
        <v>227</v>
      </c>
      <c r="E2" s="20" t="s">
        <v>228</v>
      </c>
      <c r="F2" s="20">
        <v>2022</v>
      </c>
      <c r="G2" s="20" t="s">
        <v>229</v>
      </c>
      <c r="H2" s="20" t="str">
        <f t="shared" ref="H2:H114" si="0">IF(F2="","",
  IF(F2&lt;=PERCENTILE(IF($B:$B=B2,$F:$F),0.33),"Early",
    IF(F2&lt;=PERCENTILE(IF($B:$B=B2,$F:$F),0.67),"Middle","Recent")))</f>
        <v>Recent</v>
      </c>
    </row>
    <row r="3" spans="1:8" ht="15.75" customHeight="1">
      <c r="A3" s="20" t="s">
        <v>230</v>
      </c>
      <c r="B3" s="20" t="s">
        <v>225</v>
      </c>
      <c r="C3" s="68" t="s">
        <v>231</v>
      </c>
      <c r="D3" s="20" t="s">
        <v>232</v>
      </c>
      <c r="E3" s="20" t="s">
        <v>233</v>
      </c>
      <c r="F3" s="20">
        <v>2011</v>
      </c>
      <c r="G3" s="20" t="s">
        <v>234</v>
      </c>
      <c r="H3" s="20" t="str">
        <f t="shared" si="0"/>
        <v>Early</v>
      </c>
    </row>
    <row r="4" spans="1:8" ht="15.75" customHeight="1">
      <c r="A4" s="20" t="s">
        <v>235</v>
      </c>
      <c r="B4" s="20" t="s">
        <v>225</v>
      </c>
      <c r="C4" s="68" t="s">
        <v>236</v>
      </c>
      <c r="D4" s="20" t="s">
        <v>237</v>
      </c>
      <c r="E4" s="20" t="s">
        <v>238</v>
      </c>
      <c r="F4" s="20">
        <v>2020</v>
      </c>
      <c r="G4" s="20" t="s">
        <v>239</v>
      </c>
      <c r="H4" s="20" t="str">
        <f t="shared" si="0"/>
        <v>Middle</v>
      </c>
    </row>
    <row r="5" spans="1:8" ht="15.75" customHeight="1">
      <c r="A5" s="20" t="s">
        <v>240</v>
      </c>
      <c r="B5" s="20" t="s">
        <v>225</v>
      </c>
      <c r="C5" s="69" t="s">
        <v>241</v>
      </c>
      <c r="D5" s="20" t="s">
        <v>242</v>
      </c>
      <c r="E5" s="20" t="s">
        <v>243</v>
      </c>
      <c r="F5" s="20">
        <v>2017</v>
      </c>
      <c r="G5" s="20" t="s">
        <v>244</v>
      </c>
      <c r="H5" s="20" t="str">
        <f t="shared" si="0"/>
        <v>Middle</v>
      </c>
    </row>
    <row r="6" spans="1:8" ht="15.75" customHeight="1">
      <c r="A6" s="20" t="s">
        <v>245</v>
      </c>
      <c r="B6" s="20" t="s">
        <v>225</v>
      </c>
      <c r="C6" s="68" t="s">
        <v>246</v>
      </c>
      <c r="D6" s="20" t="s">
        <v>247</v>
      </c>
      <c r="E6" s="20" t="s">
        <v>248</v>
      </c>
      <c r="F6" s="20">
        <v>2014</v>
      </c>
      <c r="G6" s="20" t="s">
        <v>249</v>
      </c>
      <c r="H6" s="20" t="str">
        <f t="shared" si="0"/>
        <v>Early</v>
      </c>
    </row>
    <row r="7" spans="1:8" ht="15.75" customHeight="1">
      <c r="A7" s="20" t="s">
        <v>250</v>
      </c>
      <c r="B7" s="20" t="s">
        <v>225</v>
      </c>
      <c r="C7" s="68" t="s">
        <v>251</v>
      </c>
      <c r="D7" s="20" t="s">
        <v>252</v>
      </c>
      <c r="E7" s="20" t="s">
        <v>253</v>
      </c>
      <c r="F7" s="20">
        <v>2021</v>
      </c>
      <c r="G7" s="20" t="s">
        <v>254</v>
      </c>
      <c r="H7" s="20" t="str">
        <f t="shared" si="0"/>
        <v>Recent</v>
      </c>
    </row>
    <row r="8" spans="1:8" ht="15.75" customHeight="1">
      <c r="A8" s="20" t="s">
        <v>255</v>
      </c>
      <c r="B8" s="20" t="s">
        <v>225</v>
      </c>
      <c r="C8" s="68" t="s">
        <v>256</v>
      </c>
      <c r="D8" s="20" t="s">
        <v>257</v>
      </c>
      <c r="E8" s="20" t="s">
        <v>258</v>
      </c>
      <c r="F8" s="20">
        <v>2014</v>
      </c>
      <c r="G8" s="20" t="s">
        <v>259</v>
      </c>
      <c r="H8" s="20" t="str">
        <f t="shared" si="0"/>
        <v>Early</v>
      </c>
    </row>
    <row r="9" spans="1:8" ht="15.75" customHeight="1">
      <c r="A9" s="20" t="s">
        <v>260</v>
      </c>
      <c r="B9" s="20" t="s">
        <v>225</v>
      </c>
      <c r="C9" s="68" t="s">
        <v>261</v>
      </c>
      <c r="D9" s="20" t="s">
        <v>262</v>
      </c>
      <c r="E9" s="20" t="s">
        <v>263</v>
      </c>
      <c r="F9" s="20">
        <v>2005</v>
      </c>
      <c r="G9" s="20" t="s">
        <v>264</v>
      </c>
      <c r="H9" s="20" t="str">
        <f t="shared" si="0"/>
        <v>Early</v>
      </c>
    </row>
    <row r="10" spans="1:8" ht="15.75" customHeight="1">
      <c r="A10" s="20" t="s">
        <v>265</v>
      </c>
      <c r="B10" s="20" t="s">
        <v>225</v>
      </c>
      <c r="C10" s="68" t="s">
        <v>266</v>
      </c>
      <c r="D10" s="20" t="s">
        <v>267</v>
      </c>
      <c r="E10" s="20" t="s">
        <v>263</v>
      </c>
      <c r="F10" s="20">
        <v>2019</v>
      </c>
      <c r="G10" s="20" t="s">
        <v>268</v>
      </c>
      <c r="H10" s="20" t="str">
        <f t="shared" si="0"/>
        <v>Middle</v>
      </c>
    </row>
    <row r="11" spans="1:8" ht="15.75" customHeight="1">
      <c r="A11" s="20" t="s">
        <v>269</v>
      </c>
      <c r="B11" s="20" t="s">
        <v>225</v>
      </c>
      <c r="C11" s="68" t="s">
        <v>270</v>
      </c>
      <c r="D11" s="20" t="s">
        <v>271</v>
      </c>
      <c r="E11" s="20" t="s">
        <v>272</v>
      </c>
      <c r="F11" s="20">
        <v>2019</v>
      </c>
      <c r="G11" s="20" t="s">
        <v>273</v>
      </c>
      <c r="H11" s="20" t="str">
        <f t="shared" si="0"/>
        <v>Middle</v>
      </c>
    </row>
    <row r="12" spans="1:8" ht="15.75" customHeight="1">
      <c r="A12" s="20" t="s">
        <v>274</v>
      </c>
      <c r="B12" s="20" t="s">
        <v>225</v>
      </c>
      <c r="C12" s="68" t="s">
        <v>275</v>
      </c>
      <c r="D12" s="20" t="s">
        <v>276</v>
      </c>
      <c r="E12" s="20" t="s">
        <v>277</v>
      </c>
      <c r="F12" s="20">
        <v>2019</v>
      </c>
      <c r="G12" s="20" t="s">
        <v>278</v>
      </c>
      <c r="H12" s="20" t="str">
        <f t="shared" si="0"/>
        <v>Middle</v>
      </c>
    </row>
    <row r="13" spans="1:8" ht="15.75" customHeight="1">
      <c r="A13" s="20" t="s">
        <v>279</v>
      </c>
      <c r="B13" s="20" t="s">
        <v>225</v>
      </c>
      <c r="C13" s="68" t="s">
        <v>280</v>
      </c>
      <c r="D13" s="20" t="s">
        <v>281</v>
      </c>
      <c r="E13" s="20" t="s">
        <v>282</v>
      </c>
      <c r="F13" s="20">
        <v>2021</v>
      </c>
      <c r="G13" s="20" t="s">
        <v>283</v>
      </c>
      <c r="H13" s="20" t="str">
        <f t="shared" si="0"/>
        <v>Recent</v>
      </c>
    </row>
    <row r="14" spans="1:8" ht="15.75" customHeight="1">
      <c r="A14" s="20" t="s">
        <v>284</v>
      </c>
      <c r="B14" s="20" t="s">
        <v>225</v>
      </c>
      <c r="C14" s="68" t="s">
        <v>285</v>
      </c>
      <c r="D14" s="20" t="s">
        <v>286</v>
      </c>
      <c r="E14" s="20" t="s">
        <v>287</v>
      </c>
      <c r="F14" s="20">
        <v>2008</v>
      </c>
      <c r="G14" s="20" t="s">
        <v>288</v>
      </c>
      <c r="H14" s="20" t="str">
        <f t="shared" si="0"/>
        <v>Early</v>
      </c>
    </row>
    <row r="15" spans="1:8" ht="15.75" customHeight="1">
      <c r="A15" s="20" t="s">
        <v>289</v>
      </c>
      <c r="B15" s="20" t="s">
        <v>225</v>
      </c>
      <c r="C15" s="68" t="s">
        <v>290</v>
      </c>
      <c r="D15" s="20" t="s">
        <v>291</v>
      </c>
      <c r="E15" s="20" t="s">
        <v>292</v>
      </c>
      <c r="F15" s="20">
        <v>2018</v>
      </c>
      <c r="G15" s="20" t="s">
        <v>293</v>
      </c>
      <c r="H15" s="20" t="str">
        <f t="shared" si="0"/>
        <v>Middle</v>
      </c>
    </row>
    <row r="16" spans="1:8" ht="15.75" customHeight="1">
      <c r="A16" s="20" t="s">
        <v>294</v>
      </c>
      <c r="B16" s="20" t="s">
        <v>225</v>
      </c>
      <c r="C16" s="70" t="s">
        <v>295</v>
      </c>
      <c r="D16" s="20" t="s">
        <v>296</v>
      </c>
      <c r="E16" s="20" t="s">
        <v>297</v>
      </c>
      <c r="F16" s="20">
        <v>2020</v>
      </c>
      <c r="G16" s="20" t="s">
        <v>298</v>
      </c>
      <c r="H16" s="20" t="str">
        <f t="shared" si="0"/>
        <v>Middle</v>
      </c>
    </row>
    <row r="17" spans="1:8" ht="15.75" customHeight="1">
      <c r="A17" s="20" t="s">
        <v>299</v>
      </c>
      <c r="B17" s="20" t="s">
        <v>225</v>
      </c>
      <c r="C17" s="68" t="s">
        <v>300</v>
      </c>
      <c r="D17" s="20" t="s">
        <v>301</v>
      </c>
      <c r="E17" s="20" t="s">
        <v>302</v>
      </c>
      <c r="F17" s="20">
        <v>2017</v>
      </c>
      <c r="G17" s="20" t="s">
        <v>234</v>
      </c>
      <c r="H17" s="20" t="str">
        <f t="shared" si="0"/>
        <v>Middle</v>
      </c>
    </row>
    <row r="18" spans="1:8" ht="15.75" customHeight="1">
      <c r="A18" s="20" t="s">
        <v>303</v>
      </c>
      <c r="B18" s="20" t="s">
        <v>225</v>
      </c>
      <c r="C18" s="68" t="s">
        <v>304</v>
      </c>
      <c r="D18" s="20" t="s">
        <v>305</v>
      </c>
      <c r="E18" s="20" t="s">
        <v>306</v>
      </c>
      <c r="F18" s="20">
        <v>2021</v>
      </c>
      <c r="G18" s="20" t="s">
        <v>307</v>
      </c>
      <c r="H18" s="20" t="str">
        <f t="shared" si="0"/>
        <v>Recent</v>
      </c>
    </row>
    <row r="19" spans="1:8" ht="15.75" customHeight="1">
      <c r="A19" s="20" t="s">
        <v>308</v>
      </c>
      <c r="B19" s="20" t="s">
        <v>225</v>
      </c>
      <c r="C19" s="69" t="s">
        <v>309</v>
      </c>
      <c r="D19" s="20" t="s">
        <v>310</v>
      </c>
      <c r="E19" s="20" t="s">
        <v>311</v>
      </c>
      <c r="F19" s="20">
        <v>2021</v>
      </c>
      <c r="G19" s="20" t="s">
        <v>312</v>
      </c>
      <c r="H19" s="20" t="str">
        <f t="shared" si="0"/>
        <v>Recent</v>
      </c>
    </row>
    <row r="20" spans="1:8" ht="12.5" customHeight="1">
      <c r="A20" s="20" t="s">
        <v>313</v>
      </c>
      <c r="B20" s="20" t="s">
        <v>225</v>
      </c>
      <c r="C20" s="68" t="s">
        <v>314</v>
      </c>
      <c r="D20" s="20" t="s">
        <v>315</v>
      </c>
      <c r="E20" s="20" t="s">
        <v>316</v>
      </c>
      <c r="F20" s="20">
        <v>2015</v>
      </c>
      <c r="G20" s="20" t="s">
        <v>317</v>
      </c>
      <c r="H20" s="20" t="str">
        <f t="shared" si="0"/>
        <v>Early</v>
      </c>
    </row>
    <row r="21" spans="1:8" ht="12.5" customHeight="1">
      <c r="A21" s="20" t="s">
        <v>318</v>
      </c>
      <c r="B21" s="20" t="s">
        <v>225</v>
      </c>
      <c r="C21" s="68" t="s">
        <v>319</v>
      </c>
      <c r="D21" s="20" t="s">
        <v>320</v>
      </c>
      <c r="E21" s="20" t="s">
        <v>321</v>
      </c>
      <c r="F21" s="20">
        <v>2008</v>
      </c>
      <c r="G21" s="20" t="s">
        <v>322</v>
      </c>
      <c r="H21" s="20" t="str">
        <f t="shared" si="0"/>
        <v>Early</v>
      </c>
    </row>
    <row r="22" spans="1:8" ht="12.5" customHeight="1">
      <c r="A22" s="20" t="s">
        <v>323</v>
      </c>
      <c r="B22" s="20" t="s">
        <v>225</v>
      </c>
      <c r="C22" s="69" t="s">
        <v>2864</v>
      </c>
      <c r="D22" s="20" t="s">
        <v>325</v>
      </c>
      <c r="E22" s="20" t="s">
        <v>326</v>
      </c>
      <c r="F22" s="20">
        <v>2021</v>
      </c>
      <c r="G22" s="20" t="s">
        <v>327</v>
      </c>
      <c r="H22" s="20" t="str">
        <f t="shared" si="0"/>
        <v>Recent</v>
      </c>
    </row>
    <row r="23" spans="1:8" ht="12.5" customHeight="1">
      <c r="A23" s="20" t="s">
        <v>328</v>
      </c>
      <c r="B23" s="20" t="s">
        <v>225</v>
      </c>
      <c r="C23" s="68" t="s">
        <v>329</v>
      </c>
      <c r="D23" s="20" t="s">
        <v>330</v>
      </c>
      <c r="E23" s="20" t="s">
        <v>331</v>
      </c>
      <c r="F23" s="20">
        <v>2018</v>
      </c>
      <c r="G23" s="20" t="s">
        <v>332</v>
      </c>
      <c r="H23" s="20" t="str">
        <f t="shared" si="0"/>
        <v>Middle</v>
      </c>
    </row>
    <row r="24" spans="1:8" ht="12.5" customHeight="1">
      <c r="A24" s="20" t="s">
        <v>333</v>
      </c>
      <c r="B24" s="20" t="s">
        <v>225</v>
      </c>
      <c r="C24" s="68" t="s">
        <v>334</v>
      </c>
      <c r="D24" s="20" t="s">
        <v>335</v>
      </c>
      <c r="E24" s="20" t="s">
        <v>336</v>
      </c>
      <c r="F24" s="20">
        <v>2019</v>
      </c>
      <c r="G24" s="20" t="s">
        <v>337</v>
      </c>
      <c r="H24" s="20" t="str">
        <f t="shared" si="0"/>
        <v>Middle</v>
      </c>
    </row>
    <row r="25" spans="1:8" ht="12.5" customHeight="1">
      <c r="A25" s="20" t="s">
        <v>338</v>
      </c>
      <c r="B25" s="20" t="s">
        <v>225</v>
      </c>
      <c r="C25" s="68" t="s">
        <v>339</v>
      </c>
      <c r="D25" s="20" t="s">
        <v>340</v>
      </c>
      <c r="E25" s="20" t="s">
        <v>341</v>
      </c>
      <c r="F25" s="20">
        <v>2009</v>
      </c>
      <c r="G25" s="20" t="s">
        <v>259</v>
      </c>
      <c r="H25" s="20" t="str">
        <f t="shared" si="0"/>
        <v>Early</v>
      </c>
    </row>
    <row r="26" spans="1:8" ht="12.5" customHeight="1">
      <c r="A26" s="18" t="s">
        <v>342</v>
      </c>
      <c r="B26" s="18" t="s">
        <v>225</v>
      </c>
      <c r="C26" s="71" t="s">
        <v>343</v>
      </c>
      <c r="D26" s="18" t="s">
        <v>344</v>
      </c>
      <c r="E26" s="18" t="s">
        <v>345</v>
      </c>
      <c r="F26" s="18">
        <v>2020</v>
      </c>
      <c r="G26" s="18" t="s">
        <v>346</v>
      </c>
      <c r="H26" s="18" t="str">
        <f t="shared" si="0"/>
        <v>Middle</v>
      </c>
    </row>
    <row r="27" spans="1:8" ht="12.5" customHeight="1">
      <c r="A27" s="20" t="s">
        <v>347</v>
      </c>
      <c r="B27" s="20" t="s">
        <v>225</v>
      </c>
      <c r="C27" s="68" t="s">
        <v>348</v>
      </c>
      <c r="D27" s="20" t="s">
        <v>349</v>
      </c>
      <c r="E27" s="20" t="s">
        <v>350</v>
      </c>
      <c r="F27" s="20">
        <v>2015</v>
      </c>
      <c r="G27" s="20" t="s">
        <v>351</v>
      </c>
      <c r="H27" s="20" t="str">
        <f t="shared" si="0"/>
        <v>Early</v>
      </c>
    </row>
    <row r="28" spans="1:8" ht="12.5" customHeight="1">
      <c r="A28" s="20" t="s">
        <v>352</v>
      </c>
      <c r="B28" s="20" t="s">
        <v>225</v>
      </c>
      <c r="C28" s="68" t="s">
        <v>353</v>
      </c>
      <c r="D28" s="20" t="s">
        <v>354</v>
      </c>
      <c r="E28" s="20" t="s">
        <v>355</v>
      </c>
      <c r="F28" s="20">
        <v>2019</v>
      </c>
      <c r="G28" s="20" t="s">
        <v>254</v>
      </c>
      <c r="H28" s="20" t="str">
        <f t="shared" si="0"/>
        <v>Middle</v>
      </c>
    </row>
    <row r="29" spans="1:8" ht="12.5" customHeight="1">
      <c r="A29" s="20" t="s">
        <v>356</v>
      </c>
      <c r="B29" s="20" t="s">
        <v>225</v>
      </c>
      <c r="C29" s="68" t="s">
        <v>357</v>
      </c>
      <c r="D29" s="20" t="s">
        <v>358</v>
      </c>
      <c r="E29" s="20" t="s">
        <v>359</v>
      </c>
      <c r="F29" s="20">
        <v>2008</v>
      </c>
      <c r="G29" s="20" t="s">
        <v>254</v>
      </c>
      <c r="H29" s="20" t="str">
        <f t="shared" si="0"/>
        <v>Early</v>
      </c>
    </row>
    <row r="30" spans="1:8" ht="12.5" customHeight="1">
      <c r="A30" s="20" t="s">
        <v>360</v>
      </c>
      <c r="B30" s="20" t="s">
        <v>225</v>
      </c>
      <c r="C30" s="69" t="s">
        <v>2865</v>
      </c>
      <c r="D30" s="20" t="s">
        <v>362</v>
      </c>
      <c r="E30" s="20" t="s">
        <v>359</v>
      </c>
      <c r="F30" s="20">
        <v>2019</v>
      </c>
      <c r="G30" s="20" t="s">
        <v>363</v>
      </c>
      <c r="H30" s="20" t="str">
        <f t="shared" si="0"/>
        <v>Middle</v>
      </c>
    </row>
    <row r="31" spans="1:8" ht="12.5" customHeight="1">
      <c r="A31" s="20" t="s">
        <v>364</v>
      </c>
      <c r="B31" s="20" t="s">
        <v>225</v>
      </c>
      <c r="C31" s="68" t="s">
        <v>365</v>
      </c>
      <c r="D31" s="20" t="s">
        <v>366</v>
      </c>
      <c r="E31" s="20" t="s">
        <v>367</v>
      </c>
      <c r="F31" s="20">
        <v>2019</v>
      </c>
      <c r="G31" s="20" t="s">
        <v>368</v>
      </c>
      <c r="H31" s="20" t="str">
        <f t="shared" si="0"/>
        <v>Middle</v>
      </c>
    </row>
    <row r="32" spans="1:8" ht="12.5" customHeight="1">
      <c r="A32" s="20" t="s">
        <v>369</v>
      </c>
      <c r="B32" s="20" t="s">
        <v>225</v>
      </c>
      <c r="C32" s="68" t="s">
        <v>370</v>
      </c>
      <c r="D32" s="20" t="s">
        <v>371</v>
      </c>
      <c r="E32" s="20" t="s">
        <v>372</v>
      </c>
      <c r="F32" s="20">
        <v>2021</v>
      </c>
      <c r="G32" s="20" t="s">
        <v>373</v>
      </c>
      <c r="H32" s="20" t="str">
        <f t="shared" si="0"/>
        <v>Recent</v>
      </c>
    </row>
    <row r="33" spans="1:8" ht="12.5" customHeight="1">
      <c r="A33" s="20" t="s">
        <v>374</v>
      </c>
      <c r="B33" s="20" t="s">
        <v>225</v>
      </c>
      <c r="C33" s="68" t="s">
        <v>375</v>
      </c>
      <c r="D33" s="20" t="s">
        <v>376</v>
      </c>
      <c r="E33" s="20" t="s">
        <v>377</v>
      </c>
      <c r="F33" s="20">
        <v>2001</v>
      </c>
      <c r="G33" s="20" t="s">
        <v>378</v>
      </c>
      <c r="H33" s="20" t="str">
        <f t="shared" si="0"/>
        <v>Early</v>
      </c>
    </row>
    <row r="34" spans="1:8" ht="12.5" customHeight="1">
      <c r="A34" s="20" t="s">
        <v>379</v>
      </c>
      <c r="B34" s="20" t="s">
        <v>225</v>
      </c>
      <c r="C34" s="68" t="s">
        <v>380</v>
      </c>
      <c r="D34" s="20" t="s">
        <v>381</v>
      </c>
      <c r="E34" s="20" t="s">
        <v>382</v>
      </c>
      <c r="F34" s="20">
        <v>2014</v>
      </c>
      <c r="G34" s="20" t="s">
        <v>383</v>
      </c>
      <c r="H34" s="20" t="str">
        <f t="shared" si="0"/>
        <v>Early</v>
      </c>
    </row>
    <row r="35" spans="1:8" ht="12.5" customHeight="1">
      <c r="A35" s="20" t="s">
        <v>384</v>
      </c>
      <c r="B35" s="20" t="s">
        <v>225</v>
      </c>
      <c r="C35" s="72" t="s">
        <v>2866</v>
      </c>
      <c r="D35" s="20" t="s">
        <v>386</v>
      </c>
      <c r="E35" s="20" t="s">
        <v>387</v>
      </c>
      <c r="F35" s="20">
        <v>2014</v>
      </c>
      <c r="G35" s="20" t="s">
        <v>388</v>
      </c>
      <c r="H35" s="20" t="str">
        <f t="shared" si="0"/>
        <v>Early</v>
      </c>
    </row>
    <row r="36" spans="1:8" ht="12.5" customHeight="1">
      <c r="A36" s="20" t="s">
        <v>389</v>
      </c>
      <c r="B36" s="20" t="s">
        <v>225</v>
      </c>
      <c r="C36" s="68" t="s">
        <v>390</v>
      </c>
      <c r="D36" s="20" t="s">
        <v>391</v>
      </c>
      <c r="E36" s="20" t="s">
        <v>392</v>
      </c>
      <c r="F36" s="20">
        <v>2021</v>
      </c>
      <c r="G36" s="20" t="s">
        <v>393</v>
      </c>
      <c r="H36" s="20" t="str">
        <f t="shared" si="0"/>
        <v>Recent</v>
      </c>
    </row>
    <row r="37" spans="1:8" ht="12.5" customHeight="1">
      <c r="A37" s="20" t="s">
        <v>394</v>
      </c>
      <c r="B37" s="20" t="s">
        <v>225</v>
      </c>
      <c r="C37" s="68" t="s">
        <v>395</v>
      </c>
      <c r="D37" s="20" t="s">
        <v>396</v>
      </c>
      <c r="E37" s="20" t="s">
        <v>397</v>
      </c>
      <c r="F37" s="20">
        <v>2018</v>
      </c>
      <c r="G37" s="20" t="s">
        <v>398</v>
      </c>
      <c r="H37" s="20" t="str">
        <f t="shared" si="0"/>
        <v>Middle</v>
      </c>
    </row>
    <row r="38" spans="1:8" ht="12.5" customHeight="1">
      <c r="A38" s="20" t="s">
        <v>399</v>
      </c>
      <c r="B38" s="20" t="s">
        <v>225</v>
      </c>
      <c r="C38" s="68" t="s">
        <v>400</v>
      </c>
      <c r="D38" s="20" t="s">
        <v>401</v>
      </c>
      <c r="E38" s="20" t="s">
        <v>402</v>
      </c>
      <c r="F38" s="20">
        <v>2021</v>
      </c>
      <c r="G38" s="20" t="s">
        <v>403</v>
      </c>
      <c r="H38" s="20" t="str">
        <f t="shared" si="0"/>
        <v>Recent</v>
      </c>
    </row>
    <row r="39" spans="1:8" ht="12.5" customHeight="1">
      <c r="A39" s="20" t="s">
        <v>404</v>
      </c>
      <c r="B39" s="20" t="s">
        <v>225</v>
      </c>
      <c r="C39" s="68" t="s">
        <v>405</v>
      </c>
      <c r="D39" s="20" t="s">
        <v>406</v>
      </c>
      <c r="E39" s="20" t="s">
        <v>407</v>
      </c>
      <c r="F39" s="20">
        <v>2015</v>
      </c>
      <c r="G39" s="20" t="s">
        <v>327</v>
      </c>
      <c r="H39" s="20" t="str">
        <f t="shared" si="0"/>
        <v>Early</v>
      </c>
    </row>
    <row r="40" spans="1:8" ht="12.5" customHeight="1">
      <c r="A40" s="20" t="s">
        <v>408</v>
      </c>
      <c r="B40" s="20" t="s">
        <v>225</v>
      </c>
      <c r="C40" s="68" t="s">
        <v>409</v>
      </c>
      <c r="D40" s="20" t="s">
        <v>410</v>
      </c>
      <c r="E40" s="20" t="s">
        <v>411</v>
      </c>
      <c r="F40" s="20">
        <v>2009</v>
      </c>
      <c r="G40" s="20" t="s">
        <v>412</v>
      </c>
      <c r="H40" s="20" t="str">
        <f t="shared" si="0"/>
        <v>Early</v>
      </c>
    </row>
    <row r="41" spans="1:8" ht="12.5" customHeight="1">
      <c r="A41" s="20" t="s">
        <v>413</v>
      </c>
      <c r="B41" s="20" t="s">
        <v>225</v>
      </c>
      <c r="C41" s="68" t="s">
        <v>414</v>
      </c>
      <c r="D41" s="20" t="s">
        <v>415</v>
      </c>
      <c r="E41" s="20" t="s">
        <v>416</v>
      </c>
      <c r="F41" s="20">
        <v>2020</v>
      </c>
      <c r="G41" s="20" t="s">
        <v>417</v>
      </c>
      <c r="H41" s="20" t="str">
        <f t="shared" si="0"/>
        <v>Middle</v>
      </c>
    </row>
    <row r="42" spans="1:8" ht="12.5" customHeight="1">
      <c r="A42" s="20" t="s">
        <v>418</v>
      </c>
      <c r="B42" s="20" t="s">
        <v>225</v>
      </c>
      <c r="C42" s="69" t="s">
        <v>2867</v>
      </c>
      <c r="D42" s="20" t="s">
        <v>420</v>
      </c>
      <c r="E42" s="20" t="s">
        <v>421</v>
      </c>
      <c r="F42" s="20">
        <v>2021</v>
      </c>
      <c r="G42" s="20" t="s">
        <v>422</v>
      </c>
      <c r="H42" s="20" t="str">
        <f t="shared" si="0"/>
        <v>Recent</v>
      </c>
    </row>
    <row r="43" spans="1:8" ht="12.5" customHeight="1">
      <c r="A43" s="20" t="s">
        <v>423</v>
      </c>
      <c r="B43" s="20" t="s">
        <v>225</v>
      </c>
      <c r="C43" s="70" t="s">
        <v>424</v>
      </c>
      <c r="D43" s="20" t="s">
        <v>425</v>
      </c>
      <c r="E43" s="20" t="s">
        <v>426</v>
      </c>
      <c r="F43" s="20">
        <v>2021</v>
      </c>
      <c r="G43" s="20" t="s">
        <v>427</v>
      </c>
      <c r="H43" s="20" t="str">
        <f t="shared" si="0"/>
        <v>Recent</v>
      </c>
    </row>
    <row r="44" spans="1:8" ht="12.5" customHeight="1">
      <c r="A44" s="20" t="s">
        <v>428</v>
      </c>
      <c r="B44" s="20" t="s">
        <v>225</v>
      </c>
      <c r="C44" s="68" t="s">
        <v>429</v>
      </c>
      <c r="D44" s="20" t="s">
        <v>430</v>
      </c>
      <c r="E44" s="20" t="s">
        <v>431</v>
      </c>
      <c r="F44" s="20">
        <v>2019</v>
      </c>
      <c r="G44" s="20" t="s">
        <v>432</v>
      </c>
      <c r="H44" s="20" t="str">
        <f t="shared" si="0"/>
        <v>Middle</v>
      </c>
    </row>
    <row r="45" spans="1:8" ht="12.5" customHeight="1">
      <c r="A45" s="20" t="s">
        <v>433</v>
      </c>
      <c r="B45" s="20" t="s">
        <v>225</v>
      </c>
      <c r="C45" s="68" t="s">
        <v>434</v>
      </c>
      <c r="D45" s="20" t="s">
        <v>435</v>
      </c>
      <c r="E45" s="20" t="s">
        <v>436</v>
      </c>
      <c r="F45" s="20">
        <v>2021</v>
      </c>
      <c r="G45" s="20" t="s">
        <v>437</v>
      </c>
      <c r="H45" s="20" t="str">
        <f t="shared" si="0"/>
        <v>Recent</v>
      </c>
    </row>
    <row r="46" spans="1:8" ht="12.5" customHeight="1">
      <c r="A46" s="23" t="s">
        <v>438</v>
      </c>
      <c r="B46" s="23" t="s">
        <v>225</v>
      </c>
      <c r="C46" s="73"/>
      <c r="D46" s="23" t="s">
        <v>439</v>
      </c>
      <c r="E46" s="23" t="s">
        <v>440</v>
      </c>
      <c r="F46" s="23">
        <v>2010</v>
      </c>
      <c r="G46" s="23" t="s">
        <v>441</v>
      </c>
      <c r="H46" s="20" t="str">
        <f t="shared" si="0"/>
        <v>Early</v>
      </c>
    </row>
    <row r="47" spans="1:8" ht="12.5" customHeight="1">
      <c r="A47" s="20" t="s">
        <v>442</v>
      </c>
      <c r="B47" s="20" t="s">
        <v>225</v>
      </c>
      <c r="C47" s="68" t="s">
        <v>443</v>
      </c>
      <c r="D47" s="20" t="s">
        <v>444</v>
      </c>
      <c r="E47" s="20" t="s">
        <v>440</v>
      </c>
      <c r="F47" s="20">
        <v>2018</v>
      </c>
      <c r="G47" s="20" t="s">
        <v>445</v>
      </c>
      <c r="H47" s="20" t="str">
        <f t="shared" si="0"/>
        <v>Middle</v>
      </c>
    </row>
    <row r="48" spans="1:8" ht="12.5" customHeight="1">
      <c r="A48" s="20" t="s">
        <v>446</v>
      </c>
      <c r="B48" s="20" t="s">
        <v>225</v>
      </c>
      <c r="C48" s="74" t="s">
        <v>2868</v>
      </c>
      <c r="D48" s="20" t="s">
        <v>448</v>
      </c>
      <c r="E48" s="20" t="s">
        <v>449</v>
      </c>
      <c r="F48" s="20">
        <v>2017</v>
      </c>
      <c r="G48" s="20" t="s">
        <v>244</v>
      </c>
      <c r="H48" s="20" t="str">
        <f t="shared" si="0"/>
        <v>Middle</v>
      </c>
    </row>
    <row r="49" spans="1:8" ht="12.5" customHeight="1">
      <c r="A49" s="20" t="s">
        <v>450</v>
      </c>
      <c r="B49" s="20" t="s">
        <v>225</v>
      </c>
      <c r="C49" s="72" t="s">
        <v>2869</v>
      </c>
      <c r="D49" s="20" t="s">
        <v>452</v>
      </c>
      <c r="E49" s="20" t="s">
        <v>453</v>
      </c>
      <c r="F49" s="20">
        <v>2021</v>
      </c>
      <c r="G49" s="20" t="s">
        <v>454</v>
      </c>
      <c r="H49" s="20" t="str">
        <f t="shared" si="0"/>
        <v>Recent</v>
      </c>
    </row>
    <row r="50" spans="1:8" ht="12.5" customHeight="1">
      <c r="A50" s="20" t="s">
        <v>455</v>
      </c>
      <c r="B50" s="20" t="s">
        <v>225</v>
      </c>
      <c r="C50" s="68" t="s">
        <v>456</v>
      </c>
      <c r="D50" s="20" t="s">
        <v>457</v>
      </c>
      <c r="E50" s="20" t="s">
        <v>458</v>
      </c>
      <c r="F50" s="20">
        <v>2020</v>
      </c>
      <c r="G50" s="20" t="s">
        <v>459</v>
      </c>
      <c r="H50" s="20" t="str">
        <f t="shared" si="0"/>
        <v>Middle</v>
      </c>
    </row>
    <row r="51" spans="1:8" ht="12.5" customHeight="1">
      <c r="A51" s="23" t="s">
        <v>460</v>
      </c>
      <c r="B51" s="23" t="s">
        <v>225</v>
      </c>
      <c r="C51" s="73"/>
      <c r="D51" s="23" t="s">
        <v>461</v>
      </c>
      <c r="E51" s="23" t="s">
        <v>462</v>
      </c>
      <c r="F51" s="23">
        <v>2016</v>
      </c>
      <c r="G51" s="23" t="s">
        <v>463</v>
      </c>
      <c r="H51" s="20" t="str">
        <f t="shared" si="0"/>
        <v>Middle</v>
      </c>
    </row>
    <row r="52" spans="1:8" ht="12.5" customHeight="1">
      <c r="A52" s="20" t="s">
        <v>464</v>
      </c>
      <c r="B52" s="20" t="s">
        <v>225</v>
      </c>
      <c r="C52" s="68" t="s">
        <v>465</v>
      </c>
      <c r="D52" s="20" t="s">
        <v>466</v>
      </c>
      <c r="E52" s="20" t="s">
        <v>467</v>
      </c>
      <c r="F52" s="20">
        <v>2020</v>
      </c>
      <c r="G52" s="20" t="s">
        <v>468</v>
      </c>
      <c r="H52" s="20" t="str">
        <f t="shared" si="0"/>
        <v>Middle</v>
      </c>
    </row>
    <row r="53" spans="1:8" ht="12.5" customHeight="1">
      <c r="A53" s="20" t="s">
        <v>469</v>
      </c>
      <c r="B53" s="20" t="s">
        <v>225</v>
      </c>
      <c r="C53" s="68" t="s">
        <v>470</v>
      </c>
      <c r="D53" s="20" t="s">
        <v>471</v>
      </c>
      <c r="E53" s="20" t="s">
        <v>472</v>
      </c>
      <c r="F53" s="20">
        <v>2008</v>
      </c>
      <c r="G53" s="20" t="s">
        <v>259</v>
      </c>
      <c r="H53" s="20" t="str">
        <f t="shared" si="0"/>
        <v>Early</v>
      </c>
    </row>
    <row r="54" spans="1:8" ht="12.5" customHeight="1">
      <c r="A54" s="20" t="s">
        <v>473</v>
      </c>
      <c r="B54" s="20" t="s">
        <v>225</v>
      </c>
      <c r="C54" s="69" t="s">
        <v>2870</v>
      </c>
      <c r="D54" s="20" t="s">
        <v>475</v>
      </c>
      <c r="E54" s="20" t="s">
        <v>476</v>
      </c>
      <c r="F54" s="20">
        <v>2021</v>
      </c>
      <c r="G54" s="20" t="s">
        <v>477</v>
      </c>
      <c r="H54" s="20" t="str">
        <f t="shared" si="0"/>
        <v>Recent</v>
      </c>
    </row>
    <row r="55" spans="1:8" ht="12.5" customHeight="1">
      <c r="A55" s="20" t="s">
        <v>478</v>
      </c>
      <c r="B55" s="20" t="s">
        <v>225</v>
      </c>
      <c r="C55" s="68" t="s">
        <v>479</v>
      </c>
      <c r="D55" s="20" t="s">
        <v>480</v>
      </c>
      <c r="E55" s="20" t="s">
        <v>481</v>
      </c>
      <c r="F55" s="20">
        <v>2010</v>
      </c>
      <c r="G55" s="20" t="s">
        <v>234</v>
      </c>
      <c r="H55" s="20" t="str">
        <f t="shared" si="0"/>
        <v>Early</v>
      </c>
    </row>
    <row r="56" spans="1:8" ht="12.5" customHeight="1">
      <c r="A56" s="20" t="s">
        <v>482</v>
      </c>
      <c r="B56" s="20" t="s">
        <v>225</v>
      </c>
      <c r="C56" s="68" t="s">
        <v>483</v>
      </c>
      <c r="D56" s="20" t="s">
        <v>484</v>
      </c>
      <c r="E56" s="20" t="s">
        <v>485</v>
      </c>
      <c r="F56" s="20">
        <v>2020</v>
      </c>
      <c r="G56" s="20" t="s">
        <v>486</v>
      </c>
      <c r="H56" s="20" t="str">
        <f t="shared" si="0"/>
        <v>Middle</v>
      </c>
    </row>
    <row r="57" spans="1:8" ht="12.5" customHeight="1">
      <c r="A57" s="20" t="s">
        <v>487</v>
      </c>
      <c r="B57" s="20" t="s">
        <v>225</v>
      </c>
      <c r="C57" s="68" t="s">
        <v>488</v>
      </c>
      <c r="D57" s="20" t="s">
        <v>489</v>
      </c>
      <c r="E57" s="20" t="s">
        <v>490</v>
      </c>
      <c r="F57" s="20">
        <v>2018</v>
      </c>
      <c r="G57" s="20" t="s">
        <v>491</v>
      </c>
      <c r="H57" s="20" t="str">
        <f t="shared" si="0"/>
        <v>Middle</v>
      </c>
    </row>
    <row r="58" spans="1:8" ht="12.5" customHeight="1">
      <c r="A58" s="20" t="s">
        <v>492</v>
      </c>
      <c r="B58" s="20" t="s">
        <v>225</v>
      </c>
      <c r="C58" s="68" t="s">
        <v>493</v>
      </c>
      <c r="D58" s="20" t="s">
        <v>494</v>
      </c>
      <c r="E58" s="20" t="s">
        <v>495</v>
      </c>
      <c r="F58" s="20">
        <v>2020</v>
      </c>
      <c r="G58" s="20" t="s">
        <v>496</v>
      </c>
      <c r="H58" s="20" t="str">
        <f t="shared" si="0"/>
        <v>Middle</v>
      </c>
    </row>
    <row r="59" spans="1:8" ht="12.5" customHeight="1">
      <c r="A59" s="20" t="s">
        <v>497</v>
      </c>
      <c r="B59" s="20" t="s">
        <v>225</v>
      </c>
      <c r="C59" s="68" t="s">
        <v>498</v>
      </c>
      <c r="D59" s="20" t="s">
        <v>499</v>
      </c>
      <c r="E59" s="20" t="s">
        <v>500</v>
      </c>
      <c r="F59" s="20">
        <v>2017</v>
      </c>
      <c r="G59" s="20" t="s">
        <v>501</v>
      </c>
      <c r="H59" s="20" t="str">
        <f t="shared" si="0"/>
        <v>Middle</v>
      </c>
    </row>
    <row r="60" spans="1:8" ht="12.5" customHeight="1">
      <c r="A60" s="20" t="s">
        <v>502</v>
      </c>
      <c r="B60" s="20" t="s">
        <v>225</v>
      </c>
      <c r="C60" s="68" t="s">
        <v>503</v>
      </c>
      <c r="D60" s="20" t="s">
        <v>504</v>
      </c>
      <c r="E60" s="20" t="s">
        <v>500</v>
      </c>
      <c r="F60" s="20">
        <v>2020</v>
      </c>
      <c r="G60" s="20" t="s">
        <v>505</v>
      </c>
      <c r="H60" s="20" t="str">
        <f t="shared" si="0"/>
        <v>Middle</v>
      </c>
    </row>
    <row r="61" spans="1:8" ht="12.5" customHeight="1">
      <c r="A61" s="20" t="s">
        <v>506</v>
      </c>
      <c r="B61" s="20" t="s">
        <v>225</v>
      </c>
      <c r="C61" s="68" t="s">
        <v>507</v>
      </c>
      <c r="D61" s="20" t="s">
        <v>508</v>
      </c>
      <c r="E61" s="20" t="s">
        <v>509</v>
      </c>
      <c r="F61" s="20">
        <v>1996</v>
      </c>
      <c r="G61" s="20" t="s">
        <v>510</v>
      </c>
      <c r="H61" s="20" t="str">
        <f t="shared" si="0"/>
        <v>Early</v>
      </c>
    </row>
    <row r="62" spans="1:8" ht="12.5" customHeight="1">
      <c r="A62" s="20" t="s">
        <v>511</v>
      </c>
      <c r="B62" s="20" t="s">
        <v>225</v>
      </c>
      <c r="C62" s="68" t="s">
        <v>512</v>
      </c>
      <c r="D62" s="20" t="s">
        <v>513</v>
      </c>
      <c r="E62" s="20" t="s">
        <v>514</v>
      </c>
      <c r="F62" s="20">
        <v>2020</v>
      </c>
      <c r="G62" s="20" t="s">
        <v>515</v>
      </c>
      <c r="H62" s="20" t="str">
        <f t="shared" si="0"/>
        <v>Middle</v>
      </c>
    </row>
    <row r="63" spans="1:8" ht="12.5" customHeight="1">
      <c r="A63" s="20" t="s">
        <v>516</v>
      </c>
      <c r="B63" s="20" t="s">
        <v>225</v>
      </c>
      <c r="C63" s="68" t="s">
        <v>517</v>
      </c>
      <c r="D63" s="20" t="s">
        <v>518</v>
      </c>
      <c r="E63" s="20" t="s">
        <v>519</v>
      </c>
      <c r="F63" s="20">
        <v>2015</v>
      </c>
      <c r="G63" s="20" t="s">
        <v>520</v>
      </c>
      <c r="H63" s="20" t="str">
        <f t="shared" si="0"/>
        <v>Early</v>
      </c>
    </row>
    <row r="64" spans="1:8" ht="12.5" customHeight="1">
      <c r="A64" s="20" t="s">
        <v>521</v>
      </c>
      <c r="B64" s="20" t="s">
        <v>225</v>
      </c>
      <c r="C64" s="68" t="s">
        <v>522</v>
      </c>
      <c r="D64" s="20" t="s">
        <v>523</v>
      </c>
      <c r="E64" s="20" t="s">
        <v>524</v>
      </c>
      <c r="F64" s="20">
        <v>2017</v>
      </c>
      <c r="G64" s="20" t="s">
        <v>525</v>
      </c>
      <c r="H64" s="20" t="str">
        <f t="shared" si="0"/>
        <v>Middle</v>
      </c>
    </row>
    <row r="65" spans="1:8" ht="12.5" customHeight="1">
      <c r="A65" s="20" t="s">
        <v>526</v>
      </c>
      <c r="B65" s="20" t="s">
        <v>225</v>
      </c>
      <c r="C65" s="68" t="s">
        <v>527</v>
      </c>
      <c r="D65" s="20" t="s">
        <v>528</v>
      </c>
      <c r="E65" s="20" t="s">
        <v>524</v>
      </c>
      <c r="F65" s="20">
        <v>2019</v>
      </c>
      <c r="G65" s="20" t="s">
        <v>529</v>
      </c>
      <c r="H65" s="20" t="str">
        <f t="shared" si="0"/>
        <v>Middle</v>
      </c>
    </row>
    <row r="66" spans="1:8" ht="12.5" customHeight="1">
      <c r="A66" s="20" t="s">
        <v>530</v>
      </c>
      <c r="B66" s="20" t="s">
        <v>225</v>
      </c>
      <c r="C66" s="69" t="s">
        <v>2871</v>
      </c>
      <c r="D66" s="20" t="s">
        <v>532</v>
      </c>
      <c r="E66" s="20" t="s">
        <v>533</v>
      </c>
      <c r="F66" s="20">
        <v>2020</v>
      </c>
      <c r="G66" s="20" t="s">
        <v>351</v>
      </c>
      <c r="H66" s="20" t="str">
        <f t="shared" si="0"/>
        <v>Middle</v>
      </c>
    </row>
    <row r="67" spans="1:8" ht="12.5" customHeight="1">
      <c r="A67" s="20" t="s">
        <v>534</v>
      </c>
      <c r="B67" s="20" t="s">
        <v>225</v>
      </c>
      <c r="C67" s="68" t="s">
        <v>535</v>
      </c>
      <c r="D67" s="20" t="s">
        <v>536</v>
      </c>
      <c r="E67" s="20" t="s">
        <v>537</v>
      </c>
      <c r="F67" s="20">
        <v>2014</v>
      </c>
      <c r="G67" s="20" t="s">
        <v>538</v>
      </c>
      <c r="H67" s="20" t="str">
        <f t="shared" si="0"/>
        <v>Early</v>
      </c>
    </row>
    <row r="68" spans="1:8" ht="12.5" customHeight="1">
      <c r="A68" s="20" t="s">
        <v>539</v>
      </c>
      <c r="B68" s="20" t="s">
        <v>225</v>
      </c>
      <c r="C68" s="68" t="s">
        <v>540</v>
      </c>
      <c r="D68" s="20" t="s">
        <v>541</v>
      </c>
      <c r="E68" s="20" t="s">
        <v>542</v>
      </c>
      <c r="F68" s="20">
        <v>2015</v>
      </c>
      <c r="G68" s="20" t="s">
        <v>543</v>
      </c>
      <c r="H68" s="20" t="str">
        <f t="shared" si="0"/>
        <v>Early</v>
      </c>
    </row>
    <row r="69" spans="1:8" ht="12.5" customHeight="1">
      <c r="A69" s="20" t="s">
        <v>544</v>
      </c>
      <c r="B69" s="20" t="s">
        <v>225</v>
      </c>
      <c r="C69" s="68" t="s">
        <v>545</v>
      </c>
      <c r="D69" s="20" t="s">
        <v>546</v>
      </c>
      <c r="E69" s="20" t="s">
        <v>547</v>
      </c>
      <c r="F69" s="20">
        <v>2000</v>
      </c>
      <c r="G69" s="20" t="s">
        <v>548</v>
      </c>
      <c r="H69" s="20" t="str">
        <f t="shared" si="0"/>
        <v>Early</v>
      </c>
    </row>
    <row r="70" spans="1:8" ht="12.5" customHeight="1">
      <c r="A70" s="20" t="s">
        <v>549</v>
      </c>
      <c r="B70" s="20" t="s">
        <v>225</v>
      </c>
      <c r="C70" s="68" t="s">
        <v>550</v>
      </c>
      <c r="D70" s="20" t="s">
        <v>551</v>
      </c>
      <c r="E70" s="20" t="s">
        <v>552</v>
      </c>
      <c r="F70" s="20">
        <v>2020</v>
      </c>
      <c r="G70" s="20" t="s">
        <v>501</v>
      </c>
      <c r="H70" s="20" t="str">
        <f t="shared" si="0"/>
        <v>Middle</v>
      </c>
    </row>
    <row r="71" spans="1:8" ht="12.5" customHeight="1">
      <c r="A71" s="20" t="s">
        <v>553</v>
      </c>
      <c r="B71" s="20" t="s">
        <v>225</v>
      </c>
      <c r="C71" s="68" t="s">
        <v>554</v>
      </c>
      <c r="D71" s="20" t="s">
        <v>555</v>
      </c>
      <c r="E71" s="20" t="s">
        <v>556</v>
      </c>
      <c r="F71" s="20">
        <v>2021</v>
      </c>
      <c r="G71" s="20" t="s">
        <v>557</v>
      </c>
      <c r="H71" s="20" t="str">
        <f t="shared" si="0"/>
        <v>Recent</v>
      </c>
    </row>
    <row r="72" spans="1:8" ht="12.5" customHeight="1">
      <c r="A72" s="20" t="s">
        <v>558</v>
      </c>
      <c r="B72" s="20" t="s">
        <v>225</v>
      </c>
      <c r="C72" s="68" t="s">
        <v>559</v>
      </c>
      <c r="D72" s="20" t="s">
        <v>560</v>
      </c>
      <c r="E72" s="20" t="s">
        <v>561</v>
      </c>
      <c r="F72" s="20">
        <v>2018</v>
      </c>
      <c r="G72" s="20" t="s">
        <v>562</v>
      </c>
      <c r="H72" s="20" t="str">
        <f t="shared" si="0"/>
        <v>Middle</v>
      </c>
    </row>
    <row r="73" spans="1:8" ht="12.5" customHeight="1">
      <c r="A73" s="20" t="s">
        <v>563</v>
      </c>
      <c r="B73" s="20" t="s">
        <v>225</v>
      </c>
      <c r="C73" s="68" t="s">
        <v>564</v>
      </c>
      <c r="D73" s="20" t="s">
        <v>565</v>
      </c>
      <c r="E73" s="20" t="s">
        <v>566</v>
      </c>
      <c r="F73" s="20">
        <v>2020</v>
      </c>
      <c r="G73" s="20" t="s">
        <v>567</v>
      </c>
      <c r="H73" s="20" t="str">
        <f t="shared" si="0"/>
        <v>Middle</v>
      </c>
    </row>
    <row r="74" spans="1:8" ht="12.5" customHeight="1">
      <c r="A74" s="20" t="s">
        <v>568</v>
      </c>
      <c r="B74" s="20" t="s">
        <v>225</v>
      </c>
      <c r="C74" s="68" t="s">
        <v>569</v>
      </c>
      <c r="D74" s="20" t="s">
        <v>570</v>
      </c>
      <c r="E74" s="20" t="s">
        <v>571</v>
      </c>
      <c r="F74" s="20">
        <v>2020</v>
      </c>
      <c r="G74" s="20" t="s">
        <v>572</v>
      </c>
      <c r="H74" s="20" t="str">
        <f t="shared" si="0"/>
        <v>Middle</v>
      </c>
    </row>
    <row r="75" spans="1:8" ht="12.5" customHeight="1">
      <c r="A75" s="20" t="s">
        <v>573</v>
      </c>
      <c r="B75" s="20" t="s">
        <v>225</v>
      </c>
      <c r="C75" s="68" t="s">
        <v>574</v>
      </c>
      <c r="D75" s="20" t="s">
        <v>575</v>
      </c>
      <c r="E75" s="20" t="s">
        <v>576</v>
      </c>
      <c r="F75" s="20">
        <v>2014</v>
      </c>
      <c r="G75" s="20" t="s">
        <v>501</v>
      </c>
      <c r="H75" s="20" t="str">
        <f t="shared" si="0"/>
        <v>Early</v>
      </c>
    </row>
    <row r="76" spans="1:8" ht="12.5" customHeight="1">
      <c r="A76" s="20" t="s">
        <v>577</v>
      </c>
      <c r="B76" s="20" t="s">
        <v>225</v>
      </c>
      <c r="C76" s="68" t="s">
        <v>578</v>
      </c>
      <c r="D76" s="20" t="s">
        <v>579</v>
      </c>
      <c r="E76" s="20" t="s">
        <v>580</v>
      </c>
      <c r="F76" s="20">
        <v>2018</v>
      </c>
      <c r="G76" s="20" t="s">
        <v>234</v>
      </c>
      <c r="H76" s="20" t="str">
        <f t="shared" si="0"/>
        <v>Middle</v>
      </c>
    </row>
    <row r="77" spans="1:8" ht="12.5" customHeight="1">
      <c r="A77" s="20" t="s">
        <v>581</v>
      </c>
      <c r="B77" s="20" t="s">
        <v>225</v>
      </c>
      <c r="C77" s="68" t="s">
        <v>582</v>
      </c>
      <c r="D77" s="20" t="s">
        <v>583</v>
      </c>
      <c r="E77" s="20" t="s">
        <v>584</v>
      </c>
      <c r="F77" s="20">
        <v>2019</v>
      </c>
      <c r="G77" s="20" t="s">
        <v>585</v>
      </c>
      <c r="H77" s="20" t="str">
        <f t="shared" si="0"/>
        <v>Middle</v>
      </c>
    </row>
    <row r="78" spans="1:8" ht="12.5" customHeight="1">
      <c r="A78" s="23" t="s">
        <v>586</v>
      </c>
      <c r="B78" s="23" t="s">
        <v>225</v>
      </c>
      <c r="C78" s="73"/>
      <c r="D78" s="23" t="s">
        <v>587</v>
      </c>
      <c r="E78" s="23" t="s">
        <v>588</v>
      </c>
      <c r="F78" s="23">
        <v>2018</v>
      </c>
      <c r="G78" s="23" t="s">
        <v>589</v>
      </c>
      <c r="H78" s="20" t="str">
        <f t="shared" si="0"/>
        <v>Middle</v>
      </c>
    </row>
    <row r="79" spans="1:8" ht="12.5" customHeight="1">
      <c r="A79" s="20" t="s">
        <v>590</v>
      </c>
      <c r="B79" s="20" t="s">
        <v>225</v>
      </c>
      <c r="C79" s="68" t="s">
        <v>591</v>
      </c>
      <c r="D79" s="20" t="s">
        <v>592</v>
      </c>
      <c r="E79" s="20" t="s">
        <v>593</v>
      </c>
      <c r="F79" s="20">
        <v>2021</v>
      </c>
      <c r="G79" s="20" t="s">
        <v>594</v>
      </c>
      <c r="H79" s="20" t="str">
        <f t="shared" si="0"/>
        <v>Recent</v>
      </c>
    </row>
    <row r="80" spans="1:8" ht="12.5" customHeight="1">
      <c r="A80" s="20" t="s">
        <v>595</v>
      </c>
      <c r="B80" s="20" t="s">
        <v>225</v>
      </c>
      <c r="C80" s="68" t="s">
        <v>596</v>
      </c>
      <c r="D80" s="20" t="s">
        <v>597</v>
      </c>
      <c r="E80" s="20" t="s">
        <v>598</v>
      </c>
      <c r="F80" s="20">
        <v>2009</v>
      </c>
      <c r="G80" s="20" t="s">
        <v>599</v>
      </c>
      <c r="H80" s="20" t="str">
        <f t="shared" si="0"/>
        <v>Early</v>
      </c>
    </row>
    <row r="81" spans="1:8" ht="12.5" customHeight="1">
      <c r="A81" s="20" t="s">
        <v>600</v>
      </c>
      <c r="B81" s="20" t="s">
        <v>225</v>
      </c>
      <c r="C81" s="68" t="s">
        <v>601</v>
      </c>
      <c r="D81" s="20" t="s">
        <v>602</v>
      </c>
      <c r="E81" s="20" t="s">
        <v>603</v>
      </c>
      <c r="F81" s="20">
        <v>2020</v>
      </c>
      <c r="G81" s="20" t="s">
        <v>604</v>
      </c>
      <c r="H81" s="20" t="str">
        <f t="shared" si="0"/>
        <v>Middle</v>
      </c>
    </row>
    <row r="82" spans="1:8" ht="12.5" customHeight="1">
      <c r="A82" s="20" t="s">
        <v>605</v>
      </c>
      <c r="B82" s="20" t="s">
        <v>225</v>
      </c>
      <c r="C82" s="68" t="s">
        <v>606</v>
      </c>
      <c r="D82" s="20" t="s">
        <v>607</v>
      </c>
      <c r="E82" s="20" t="s">
        <v>608</v>
      </c>
      <c r="F82" s="20">
        <v>2017</v>
      </c>
      <c r="G82" s="20" t="s">
        <v>609</v>
      </c>
      <c r="H82" s="20" t="str">
        <f t="shared" si="0"/>
        <v>Middle</v>
      </c>
    </row>
    <row r="83" spans="1:8" ht="12.5" customHeight="1">
      <c r="A83" s="23" t="s">
        <v>610</v>
      </c>
      <c r="B83" s="23" t="s">
        <v>225</v>
      </c>
      <c r="C83" s="73"/>
      <c r="D83" s="23" t="s">
        <v>611</v>
      </c>
      <c r="E83" s="23" t="s">
        <v>612</v>
      </c>
      <c r="F83" s="23">
        <v>2017</v>
      </c>
      <c r="G83" s="23" t="s">
        <v>613</v>
      </c>
      <c r="H83" s="20" t="str">
        <f t="shared" si="0"/>
        <v>Middle</v>
      </c>
    </row>
    <row r="84" spans="1:8" ht="12.5" customHeight="1">
      <c r="A84" s="20" t="s">
        <v>614</v>
      </c>
      <c r="B84" s="20" t="s">
        <v>225</v>
      </c>
      <c r="C84" s="68" t="s">
        <v>615</v>
      </c>
      <c r="D84" s="20" t="s">
        <v>616</v>
      </c>
      <c r="E84" s="20" t="s">
        <v>617</v>
      </c>
      <c r="F84" s="20">
        <v>2014</v>
      </c>
      <c r="G84" s="20" t="s">
        <v>618</v>
      </c>
      <c r="H84" s="20" t="str">
        <f t="shared" si="0"/>
        <v>Early</v>
      </c>
    </row>
    <row r="85" spans="1:8" ht="12.5" customHeight="1">
      <c r="A85" s="20" t="s">
        <v>619</v>
      </c>
      <c r="B85" s="20" t="s">
        <v>225</v>
      </c>
      <c r="C85" s="68" t="s">
        <v>620</v>
      </c>
      <c r="D85" s="20" t="s">
        <v>621</v>
      </c>
      <c r="E85" s="20" t="s">
        <v>622</v>
      </c>
      <c r="F85" s="20">
        <v>2011</v>
      </c>
      <c r="G85" s="20" t="s">
        <v>623</v>
      </c>
      <c r="H85" s="20" t="str">
        <f t="shared" si="0"/>
        <v>Early</v>
      </c>
    </row>
    <row r="86" spans="1:8" ht="12.5" customHeight="1">
      <c r="A86" s="20" t="s">
        <v>624</v>
      </c>
      <c r="B86" s="20" t="s">
        <v>225</v>
      </c>
      <c r="C86" s="68" t="s">
        <v>625</v>
      </c>
      <c r="D86" s="20" t="s">
        <v>626</v>
      </c>
      <c r="E86" s="20" t="s">
        <v>627</v>
      </c>
      <c r="F86" s="20">
        <v>2018</v>
      </c>
      <c r="G86" s="20" t="s">
        <v>393</v>
      </c>
      <c r="H86" s="20" t="str">
        <f t="shared" si="0"/>
        <v>Middle</v>
      </c>
    </row>
    <row r="87" spans="1:8" ht="12.5" customHeight="1">
      <c r="A87" s="20" t="s">
        <v>628</v>
      </c>
      <c r="B87" s="20" t="s">
        <v>225</v>
      </c>
      <c r="C87" s="68" t="s">
        <v>629</v>
      </c>
      <c r="D87" s="20" t="s">
        <v>630</v>
      </c>
      <c r="E87" s="20" t="s">
        <v>631</v>
      </c>
      <c r="F87" s="20">
        <v>2021</v>
      </c>
      <c r="G87" s="20" t="s">
        <v>632</v>
      </c>
      <c r="H87" s="20" t="str">
        <f t="shared" si="0"/>
        <v>Recent</v>
      </c>
    </row>
    <row r="88" spans="1:8" ht="12.5" customHeight="1">
      <c r="A88" s="20" t="s">
        <v>633</v>
      </c>
      <c r="B88" s="20" t="s">
        <v>225</v>
      </c>
      <c r="C88" s="68" t="s">
        <v>634</v>
      </c>
      <c r="D88" s="20" t="s">
        <v>635</v>
      </c>
      <c r="E88" s="20" t="s">
        <v>636</v>
      </c>
      <c r="F88" s="20">
        <v>2021</v>
      </c>
      <c r="G88" s="20" t="s">
        <v>637</v>
      </c>
      <c r="H88" s="20" t="str">
        <f t="shared" si="0"/>
        <v>Recent</v>
      </c>
    </row>
    <row r="89" spans="1:8" ht="12.5" customHeight="1">
      <c r="A89" s="20" t="s">
        <v>638</v>
      </c>
      <c r="B89" s="20" t="s">
        <v>225</v>
      </c>
      <c r="C89" s="68" t="s">
        <v>639</v>
      </c>
      <c r="D89" s="20" t="s">
        <v>640</v>
      </c>
      <c r="E89" s="20" t="s">
        <v>636</v>
      </c>
      <c r="F89" s="20">
        <v>2021</v>
      </c>
      <c r="G89" s="20" t="s">
        <v>641</v>
      </c>
      <c r="H89" s="20" t="str">
        <f t="shared" si="0"/>
        <v>Recent</v>
      </c>
    </row>
    <row r="90" spans="1:8" ht="12.5" customHeight="1">
      <c r="A90" s="20" t="s">
        <v>642</v>
      </c>
      <c r="B90" s="20" t="s">
        <v>225</v>
      </c>
      <c r="C90" s="68" t="s">
        <v>643</v>
      </c>
      <c r="D90" s="20" t="s">
        <v>644</v>
      </c>
      <c r="E90" s="20" t="s">
        <v>645</v>
      </c>
      <c r="F90" s="20">
        <v>2014</v>
      </c>
      <c r="G90" s="20" t="s">
        <v>646</v>
      </c>
      <c r="H90" s="20" t="str">
        <f t="shared" si="0"/>
        <v>Early</v>
      </c>
    </row>
    <row r="91" spans="1:8" ht="12.5" customHeight="1">
      <c r="A91" s="20" t="s">
        <v>647</v>
      </c>
      <c r="B91" s="20" t="s">
        <v>225</v>
      </c>
      <c r="C91" s="68" t="s">
        <v>648</v>
      </c>
      <c r="D91" s="20" t="s">
        <v>649</v>
      </c>
      <c r="E91" s="20" t="s">
        <v>645</v>
      </c>
      <c r="F91" s="20">
        <v>2014</v>
      </c>
      <c r="G91" s="20" t="s">
        <v>646</v>
      </c>
      <c r="H91" s="20" t="str">
        <f t="shared" si="0"/>
        <v>Early</v>
      </c>
    </row>
    <row r="92" spans="1:8" ht="12.5" customHeight="1">
      <c r="A92" s="20" t="s">
        <v>650</v>
      </c>
      <c r="B92" s="20" t="s">
        <v>225</v>
      </c>
      <c r="C92" s="68" t="s">
        <v>651</v>
      </c>
      <c r="D92" s="20" t="s">
        <v>652</v>
      </c>
      <c r="E92" s="20" t="s">
        <v>653</v>
      </c>
      <c r="F92" s="20">
        <v>2020</v>
      </c>
      <c r="G92" s="20" t="s">
        <v>654</v>
      </c>
      <c r="H92" s="20" t="str">
        <f t="shared" si="0"/>
        <v>Middle</v>
      </c>
    </row>
    <row r="93" spans="1:8" ht="12.5" customHeight="1">
      <c r="A93" s="20" t="s">
        <v>655</v>
      </c>
      <c r="B93" s="20" t="s">
        <v>225</v>
      </c>
      <c r="C93" s="68" t="s">
        <v>656</v>
      </c>
      <c r="D93" s="20" t="s">
        <v>657</v>
      </c>
      <c r="E93" s="20" t="s">
        <v>658</v>
      </c>
      <c r="F93" s="20">
        <v>2020</v>
      </c>
      <c r="G93" s="20" t="s">
        <v>659</v>
      </c>
      <c r="H93" s="20" t="str">
        <f t="shared" si="0"/>
        <v>Middle</v>
      </c>
    </row>
    <row r="94" spans="1:8" ht="12.5" customHeight="1">
      <c r="A94" s="20" t="s">
        <v>660</v>
      </c>
      <c r="B94" s="20" t="s">
        <v>225</v>
      </c>
      <c r="C94" s="68" t="s">
        <v>661</v>
      </c>
      <c r="D94" s="20" t="s">
        <v>662</v>
      </c>
      <c r="E94" s="20" t="s">
        <v>663</v>
      </c>
      <c r="F94" s="20">
        <v>2009</v>
      </c>
      <c r="G94" s="20" t="s">
        <v>510</v>
      </c>
      <c r="H94" s="20" t="str">
        <f t="shared" si="0"/>
        <v>Early</v>
      </c>
    </row>
    <row r="95" spans="1:8" ht="12.5" customHeight="1">
      <c r="A95" s="20" t="s">
        <v>664</v>
      </c>
      <c r="B95" s="20" t="s">
        <v>225</v>
      </c>
      <c r="C95" s="68" t="s">
        <v>665</v>
      </c>
      <c r="D95" s="20" t="s">
        <v>666</v>
      </c>
      <c r="E95" s="20" t="s">
        <v>667</v>
      </c>
      <c r="F95" s="20">
        <v>2018</v>
      </c>
      <c r="G95" s="20" t="s">
        <v>668</v>
      </c>
      <c r="H95" s="20" t="str">
        <f t="shared" si="0"/>
        <v>Middle</v>
      </c>
    </row>
    <row r="96" spans="1:8" ht="12.5" customHeight="1">
      <c r="A96" s="20" t="s">
        <v>669</v>
      </c>
      <c r="B96" s="20" t="s">
        <v>225</v>
      </c>
      <c r="C96" s="68" t="s">
        <v>670</v>
      </c>
      <c r="D96" s="20" t="s">
        <v>671</v>
      </c>
      <c r="E96" s="20" t="s">
        <v>672</v>
      </c>
      <c r="F96" s="20">
        <v>2015</v>
      </c>
      <c r="G96" s="20" t="s">
        <v>351</v>
      </c>
      <c r="H96" s="20" t="str">
        <f t="shared" si="0"/>
        <v>Early</v>
      </c>
    </row>
    <row r="97" spans="1:8" ht="12.5" customHeight="1">
      <c r="A97" s="20" t="s">
        <v>673</v>
      </c>
      <c r="B97" s="20" t="s">
        <v>225</v>
      </c>
      <c r="C97" s="68" t="s">
        <v>674</v>
      </c>
      <c r="D97" s="20" t="s">
        <v>675</v>
      </c>
      <c r="E97" s="20" t="s">
        <v>676</v>
      </c>
      <c r="F97" s="20">
        <v>2021</v>
      </c>
      <c r="G97" s="20" t="s">
        <v>677</v>
      </c>
      <c r="H97" s="20" t="str">
        <f t="shared" si="0"/>
        <v>Recent</v>
      </c>
    </row>
    <row r="98" spans="1:8" ht="12.5" customHeight="1">
      <c r="A98" s="20" t="s">
        <v>678</v>
      </c>
      <c r="B98" s="20" t="s">
        <v>225</v>
      </c>
      <c r="C98" s="68" t="s">
        <v>679</v>
      </c>
      <c r="D98" s="20" t="s">
        <v>680</v>
      </c>
      <c r="E98" s="20" t="s">
        <v>681</v>
      </c>
      <c r="F98" s="20">
        <v>2019</v>
      </c>
      <c r="G98" s="20" t="s">
        <v>327</v>
      </c>
      <c r="H98" s="20" t="str">
        <f t="shared" si="0"/>
        <v>Middle</v>
      </c>
    </row>
    <row r="99" spans="1:8" ht="12.5" customHeight="1">
      <c r="A99" s="20" t="s">
        <v>682</v>
      </c>
      <c r="B99" s="20" t="s">
        <v>225</v>
      </c>
      <c r="C99" s="68" t="s">
        <v>683</v>
      </c>
      <c r="D99" s="20" t="s">
        <v>684</v>
      </c>
      <c r="E99" s="20" t="s">
        <v>685</v>
      </c>
      <c r="F99" s="20">
        <v>2020</v>
      </c>
      <c r="G99" s="20" t="s">
        <v>686</v>
      </c>
      <c r="H99" s="20" t="str">
        <f t="shared" si="0"/>
        <v>Middle</v>
      </c>
    </row>
    <row r="100" spans="1:8" ht="12.5" customHeight="1">
      <c r="A100" s="20" t="s">
        <v>687</v>
      </c>
      <c r="B100" s="20" t="s">
        <v>225</v>
      </c>
      <c r="C100" s="68" t="s">
        <v>688</v>
      </c>
      <c r="D100" s="20" t="s">
        <v>689</v>
      </c>
      <c r="E100" s="20" t="s">
        <v>690</v>
      </c>
      <c r="F100" s="20">
        <v>2017</v>
      </c>
      <c r="G100" s="20" t="s">
        <v>351</v>
      </c>
      <c r="H100" s="20" t="str">
        <f t="shared" si="0"/>
        <v>Middle</v>
      </c>
    </row>
    <row r="101" spans="1:8" ht="12.5" customHeight="1">
      <c r="A101" s="20" t="s">
        <v>691</v>
      </c>
      <c r="B101" s="20" t="s">
        <v>225</v>
      </c>
      <c r="C101" s="68" t="s">
        <v>692</v>
      </c>
      <c r="D101" s="20" t="s">
        <v>693</v>
      </c>
      <c r="E101" s="20" t="s">
        <v>694</v>
      </c>
      <c r="F101" s="20">
        <v>2017</v>
      </c>
      <c r="G101" s="20" t="s">
        <v>695</v>
      </c>
      <c r="H101" s="20" t="str">
        <f t="shared" si="0"/>
        <v>Middle</v>
      </c>
    </row>
    <row r="102" spans="1:8" ht="12.5" customHeight="1">
      <c r="A102" s="20" t="s">
        <v>696</v>
      </c>
      <c r="B102" s="20" t="s">
        <v>225</v>
      </c>
      <c r="C102" s="68" t="s">
        <v>697</v>
      </c>
      <c r="D102" s="20" t="s">
        <v>698</v>
      </c>
      <c r="E102" s="20" t="s">
        <v>699</v>
      </c>
      <c r="F102" s="20">
        <v>2012</v>
      </c>
      <c r="G102" s="20" t="s">
        <v>229</v>
      </c>
      <c r="H102" s="20" t="str">
        <f t="shared" si="0"/>
        <v>Early</v>
      </c>
    </row>
    <row r="103" spans="1:8" ht="12.5" customHeight="1">
      <c r="A103" s="20" t="s">
        <v>700</v>
      </c>
      <c r="B103" s="20" t="s">
        <v>225</v>
      </c>
      <c r="C103" s="68" t="s">
        <v>701</v>
      </c>
      <c r="D103" s="20" t="s">
        <v>702</v>
      </c>
      <c r="E103" s="20" t="s">
        <v>703</v>
      </c>
      <c r="F103" s="20">
        <v>2010</v>
      </c>
      <c r="G103" s="20" t="s">
        <v>668</v>
      </c>
      <c r="H103" s="20" t="str">
        <f t="shared" si="0"/>
        <v>Early</v>
      </c>
    </row>
    <row r="104" spans="1:8" ht="12.5" customHeight="1">
      <c r="A104" s="20" t="s">
        <v>704</v>
      </c>
      <c r="B104" s="20" t="s">
        <v>225</v>
      </c>
      <c r="C104" s="68" t="s">
        <v>705</v>
      </c>
      <c r="D104" s="20" t="s">
        <v>706</v>
      </c>
      <c r="E104" s="20" t="s">
        <v>707</v>
      </c>
      <c r="F104" s="20">
        <v>2021</v>
      </c>
      <c r="G104" s="20" t="s">
        <v>708</v>
      </c>
      <c r="H104" s="20" t="str">
        <f t="shared" si="0"/>
        <v>Recent</v>
      </c>
    </row>
    <row r="105" spans="1:8" ht="12.5" customHeight="1">
      <c r="A105" s="20" t="s">
        <v>709</v>
      </c>
      <c r="B105" s="20" t="s">
        <v>225</v>
      </c>
      <c r="C105" s="68" t="s">
        <v>710</v>
      </c>
      <c r="D105" s="20" t="s">
        <v>711</v>
      </c>
      <c r="E105" s="20" t="s">
        <v>712</v>
      </c>
      <c r="F105" s="20">
        <v>2013</v>
      </c>
      <c r="G105" s="20" t="s">
        <v>713</v>
      </c>
      <c r="H105" s="20" t="str">
        <f t="shared" si="0"/>
        <v>Early</v>
      </c>
    </row>
    <row r="106" spans="1:8" ht="12.5" customHeight="1">
      <c r="A106" s="20" t="s">
        <v>714</v>
      </c>
      <c r="B106" s="20" t="s">
        <v>225</v>
      </c>
      <c r="C106" s="68" t="s">
        <v>715</v>
      </c>
      <c r="D106" s="20" t="s">
        <v>716</v>
      </c>
      <c r="E106" s="20" t="s">
        <v>717</v>
      </c>
      <c r="F106" s="20">
        <v>2015</v>
      </c>
      <c r="G106" s="20" t="s">
        <v>718</v>
      </c>
      <c r="H106" s="20" t="str">
        <f t="shared" si="0"/>
        <v>Early</v>
      </c>
    </row>
    <row r="107" spans="1:8" ht="12.5" customHeight="1">
      <c r="A107" s="20" t="s">
        <v>719</v>
      </c>
      <c r="B107" s="20" t="s">
        <v>225</v>
      </c>
      <c r="C107" s="68" t="s">
        <v>720</v>
      </c>
      <c r="D107" s="20" t="s">
        <v>721</v>
      </c>
      <c r="E107" s="20" t="s">
        <v>722</v>
      </c>
      <c r="F107" s="20">
        <v>2020</v>
      </c>
      <c r="G107" s="20" t="s">
        <v>234</v>
      </c>
      <c r="H107" s="20" t="str">
        <f t="shared" si="0"/>
        <v>Middle</v>
      </c>
    </row>
    <row r="108" spans="1:8" ht="12.5" customHeight="1">
      <c r="A108" s="20" t="s">
        <v>723</v>
      </c>
      <c r="B108" s="20" t="s">
        <v>225</v>
      </c>
      <c r="C108" s="68" t="s">
        <v>724</v>
      </c>
      <c r="D108" s="20" t="s">
        <v>725</v>
      </c>
      <c r="E108" s="20" t="s">
        <v>726</v>
      </c>
      <c r="F108" s="20">
        <v>2019</v>
      </c>
      <c r="G108" s="20" t="s">
        <v>618</v>
      </c>
      <c r="H108" s="20" t="str">
        <f t="shared" si="0"/>
        <v>Middle</v>
      </c>
    </row>
    <row r="109" spans="1:8" ht="12.5" customHeight="1">
      <c r="A109" s="20" t="s">
        <v>727</v>
      </c>
      <c r="B109" s="20" t="s">
        <v>225</v>
      </c>
      <c r="C109" s="68" t="s">
        <v>728</v>
      </c>
      <c r="D109" s="20" t="s">
        <v>729</v>
      </c>
      <c r="E109" s="20" t="s">
        <v>730</v>
      </c>
      <c r="F109" s="20">
        <v>2021</v>
      </c>
      <c r="G109" s="20" t="s">
        <v>332</v>
      </c>
      <c r="H109" s="20" t="str">
        <f t="shared" si="0"/>
        <v>Recent</v>
      </c>
    </row>
    <row r="110" spans="1:8" ht="12.5" customHeight="1">
      <c r="A110" s="20" t="s">
        <v>731</v>
      </c>
      <c r="B110" s="20" t="s">
        <v>225</v>
      </c>
      <c r="C110" s="68" t="s">
        <v>732</v>
      </c>
      <c r="D110" s="20" t="s">
        <v>733</v>
      </c>
      <c r="E110" s="20" t="s">
        <v>734</v>
      </c>
      <c r="F110" s="20">
        <v>2022</v>
      </c>
      <c r="G110" s="20" t="s">
        <v>735</v>
      </c>
      <c r="H110" s="20" t="str">
        <f t="shared" si="0"/>
        <v>Recent</v>
      </c>
    </row>
    <row r="111" spans="1:8" ht="12.5" customHeight="1">
      <c r="A111" s="20" t="s">
        <v>736</v>
      </c>
      <c r="B111" s="20" t="s">
        <v>225</v>
      </c>
      <c r="C111" s="68" t="s">
        <v>737</v>
      </c>
      <c r="D111" s="20" t="s">
        <v>738</v>
      </c>
      <c r="E111" s="20" t="s">
        <v>739</v>
      </c>
      <c r="F111" s="20">
        <v>2010</v>
      </c>
      <c r="G111" s="20" t="s">
        <v>740</v>
      </c>
      <c r="H111" s="20" t="str">
        <f t="shared" si="0"/>
        <v>Early</v>
      </c>
    </row>
    <row r="112" spans="1:8" ht="12.5" customHeight="1">
      <c r="A112" s="20" t="s">
        <v>741</v>
      </c>
      <c r="B112" s="20" t="s">
        <v>225</v>
      </c>
      <c r="C112" s="68" t="s">
        <v>742</v>
      </c>
      <c r="D112" s="20" t="s">
        <v>743</v>
      </c>
      <c r="E112" s="20" t="s">
        <v>744</v>
      </c>
      <c r="F112" s="20">
        <v>2002</v>
      </c>
      <c r="G112" s="20" t="s">
        <v>745</v>
      </c>
      <c r="H112" s="20" t="str">
        <f t="shared" si="0"/>
        <v>Early</v>
      </c>
    </row>
    <row r="113" spans="1:8" ht="12.5" customHeight="1">
      <c r="A113" s="20" t="s">
        <v>746</v>
      </c>
      <c r="B113" s="20" t="s">
        <v>225</v>
      </c>
      <c r="C113" s="68" t="s">
        <v>747</v>
      </c>
      <c r="D113" s="20" t="s">
        <v>748</v>
      </c>
      <c r="E113" s="20" t="s">
        <v>749</v>
      </c>
      <c r="F113" s="20">
        <v>2015</v>
      </c>
      <c r="G113" s="20" t="s">
        <v>750</v>
      </c>
      <c r="H113" s="20" t="str">
        <f t="shared" si="0"/>
        <v>Early</v>
      </c>
    </row>
    <row r="114" spans="1:8" ht="12.5" customHeight="1">
      <c r="A114" s="20" t="s">
        <v>751</v>
      </c>
      <c r="B114" s="20" t="s">
        <v>225</v>
      </c>
      <c r="C114" s="68" t="s">
        <v>752</v>
      </c>
      <c r="D114" s="20" t="s">
        <v>753</v>
      </c>
      <c r="E114" s="20" t="s">
        <v>754</v>
      </c>
      <c r="F114" s="20">
        <v>2010</v>
      </c>
      <c r="G114" s="20" t="s">
        <v>388</v>
      </c>
      <c r="H114" s="20" t="str">
        <f t="shared" si="0"/>
        <v>Early</v>
      </c>
    </row>
    <row r="115" spans="1:8" ht="12.5" customHeight="1">
      <c r="C115" s="75"/>
    </row>
    <row r="116" spans="1:8" ht="12.5" customHeight="1">
      <c r="C116" s="75"/>
    </row>
    <row r="117" spans="1:8" ht="12.5" customHeight="1">
      <c r="C117" s="75"/>
    </row>
    <row r="118" spans="1:8" ht="12.5" customHeight="1">
      <c r="C118" s="75"/>
    </row>
    <row r="119" spans="1:8" ht="12.5" customHeight="1">
      <c r="C119" s="75"/>
    </row>
    <row r="120" spans="1:8" ht="12.5" customHeight="1">
      <c r="C120" s="75"/>
    </row>
    <row r="121" spans="1:8" ht="12.5" customHeight="1">
      <c r="C121" s="75"/>
    </row>
    <row r="122" spans="1:8" ht="12.5" customHeight="1">
      <c r="C122" s="75"/>
    </row>
    <row r="123" spans="1:8" ht="12.5" customHeight="1">
      <c r="C123" s="75"/>
    </row>
    <row r="124" spans="1:8" ht="12.5" customHeight="1">
      <c r="C124" s="75"/>
    </row>
    <row r="125" spans="1:8" ht="12.5" customHeight="1">
      <c r="C125" s="75"/>
    </row>
    <row r="126" spans="1:8" ht="12.5" customHeight="1">
      <c r="C126" s="75"/>
    </row>
    <row r="127" spans="1:8" ht="12.5" customHeight="1">
      <c r="C127" s="75"/>
    </row>
    <row r="128" spans="1:8" ht="12.5" customHeight="1">
      <c r="C128" s="75"/>
    </row>
    <row r="129" spans="3:3" ht="12.5" customHeight="1">
      <c r="C129" s="75"/>
    </row>
    <row r="130" spans="3:3" ht="12.5" customHeight="1">
      <c r="C130" s="75"/>
    </row>
    <row r="131" spans="3:3" ht="12.5" customHeight="1">
      <c r="C131" s="75"/>
    </row>
    <row r="132" spans="3:3" ht="12.5" customHeight="1">
      <c r="C132" s="75"/>
    </row>
    <row r="133" spans="3:3" ht="12.5" customHeight="1">
      <c r="C133" s="75"/>
    </row>
    <row r="134" spans="3:3" ht="12.5" customHeight="1">
      <c r="C134" s="75"/>
    </row>
    <row r="135" spans="3:3" ht="12.5" customHeight="1">
      <c r="C135" s="75"/>
    </row>
    <row r="136" spans="3:3" ht="12.5" customHeight="1">
      <c r="C136" s="75"/>
    </row>
    <row r="137" spans="3:3" ht="12.5" customHeight="1">
      <c r="C137" s="75"/>
    </row>
    <row r="138" spans="3:3" ht="12.5" customHeight="1">
      <c r="C138" s="75"/>
    </row>
    <row r="139" spans="3:3" ht="12.5" customHeight="1">
      <c r="C139" s="75"/>
    </row>
    <row r="140" spans="3:3" ht="12.5" customHeight="1">
      <c r="C140" s="75"/>
    </row>
    <row r="141" spans="3:3" ht="12.5" customHeight="1">
      <c r="C141" s="75"/>
    </row>
    <row r="142" spans="3:3" ht="12.5" customHeight="1">
      <c r="C142" s="75"/>
    </row>
    <row r="143" spans="3:3" ht="12.5" customHeight="1">
      <c r="C143" s="75"/>
    </row>
    <row r="144" spans="3:3" ht="12.5" customHeight="1">
      <c r="C144" s="75"/>
    </row>
    <row r="145" spans="3:3" ht="12.5" customHeight="1">
      <c r="C145" s="75"/>
    </row>
    <row r="146" spans="3:3" ht="12.5" customHeight="1">
      <c r="C146" s="75"/>
    </row>
    <row r="147" spans="3:3" ht="12.5" customHeight="1">
      <c r="C147" s="75"/>
    </row>
    <row r="148" spans="3:3" ht="12.5" customHeight="1">
      <c r="C148" s="75"/>
    </row>
    <row r="149" spans="3:3" ht="12.5" customHeight="1">
      <c r="C149" s="75"/>
    </row>
    <row r="150" spans="3:3" ht="12.5" customHeight="1">
      <c r="C150" s="75"/>
    </row>
    <row r="151" spans="3:3" ht="12.5" customHeight="1">
      <c r="C151" s="75"/>
    </row>
    <row r="152" spans="3:3" ht="12.5" customHeight="1">
      <c r="C152" s="75"/>
    </row>
    <row r="153" spans="3:3" ht="12.5" customHeight="1">
      <c r="C153" s="75"/>
    </row>
    <row r="154" spans="3:3" ht="12.5" customHeight="1">
      <c r="C154" s="75"/>
    </row>
    <row r="155" spans="3:3" ht="12.5" customHeight="1">
      <c r="C155" s="75"/>
    </row>
    <row r="156" spans="3:3" ht="12.5" customHeight="1">
      <c r="C156" s="75"/>
    </row>
    <row r="157" spans="3:3" ht="12.5" customHeight="1">
      <c r="C157" s="75"/>
    </row>
    <row r="158" spans="3:3" ht="12.5" customHeight="1">
      <c r="C158" s="75"/>
    </row>
    <row r="159" spans="3:3" ht="12.5" customHeight="1">
      <c r="C159" s="75"/>
    </row>
    <row r="160" spans="3:3" ht="12.5" customHeight="1">
      <c r="C160" s="75"/>
    </row>
    <row r="161" spans="3:3" ht="12.5" customHeight="1">
      <c r="C161" s="75"/>
    </row>
    <row r="162" spans="3:3" ht="12.5" customHeight="1">
      <c r="C162" s="75"/>
    </row>
    <row r="163" spans="3:3" ht="12.5" customHeight="1">
      <c r="C163" s="75"/>
    </row>
    <row r="164" spans="3:3" ht="12.5" customHeight="1">
      <c r="C164" s="75"/>
    </row>
    <row r="165" spans="3:3" ht="12.5" customHeight="1">
      <c r="C165" s="75"/>
    </row>
    <row r="166" spans="3:3" ht="12.5" customHeight="1">
      <c r="C166" s="75"/>
    </row>
    <row r="167" spans="3:3" ht="12.5" customHeight="1">
      <c r="C167" s="75"/>
    </row>
    <row r="168" spans="3:3" ht="12.5" customHeight="1">
      <c r="C168" s="75"/>
    </row>
    <row r="169" spans="3:3" ht="12.5" customHeight="1">
      <c r="C169" s="75"/>
    </row>
    <row r="170" spans="3:3" ht="12.5" customHeight="1">
      <c r="C170" s="75"/>
    </row>
    <row r="171" spans="3:3" ht="12.5" customHeight="1">
      <c r="C171" s="75"/>
    </row>
    <row r="172" spans="3:3" ht="12.5" customHeight="1">
      <c r="C172" s="75"/>
    </row>
    <row r="173" spans="3:3" ht="12.5" customHeight="1">
      <c r="C173" s="75"/>
    </row>
    <row r="174" spans="3:3" ht="12.5" customHeight="1">
      <c r="C174" s="75"/>
    </row>
    <row r="175" spans="3:3" ht="12.5" customHeight="1">
      <c r="C175" s="75"/>
    </row>
    <row r="176" spans="3:3" ht="12.5" customHeight="1">
      <c r="C176" s="75"/>
    </row>
    <row r="177" spans="3:3" ht="12.5" customHeight="1">
      <c r="C177" s="75"/>
    </row>
    <row r="178" spans="3:3" ht="12.5" customHeight="1">
      <c r="C178" s="75"/>
    </row>
    <row r="179" spans="3:3" ht="12.5" customHeight="1">
      <c r="C179" s="75"/>
    </row>
    <row r="180" spans="3:3" ht="12.5" customHeight="1">
      <c r="C180" s="75"/>
    </row>
    <row r="181" spans="3:3" ht="12.5" customHeight="1">
      <c r="C181" s="75"/>
    </row>
    <row r="182" spans="3:3" ht="12.5" customHeight="1">
      <c r="C182" s="75"/>
    </row>
    <row r="183" spans="3:3" ht="12.5" customHeight="1">
      <c r="C183" s="75"/>
    </row>
    <row r="184" spans="3:3" ht="12.5" customHeight="1">
      <c r="C184" s="75"/>
    </row>
    <row r="185" spans="3:3" ht="12.5" customHeight="1">
      <c r="C185" s="75"/>
    </row>
    <row r="186" spans="3:3" ht="12.5" customHeight="1">
      <c r="C186" s="75"/>
    </row>
    <row r="187" spans="3:3" ht="12.5" customHeight="1">
      <c r="C187" s="75"/>
    </row>
    <row r="188" spans="3:3" ht="12.5" customHeight="1">
      <c r="C188" s="75"/>
    </row>
    <row r="189" spans="3:3" ht="12.5" customHeight="1">
      <c r="C189" s="75"/>
    </row>
    <row r="190" spans="3:3" ht="12.5" customHeight="1">
      <c r="C190" s="75"/>
    </row>
    <row r="191" spans="3:3" ht="12.5" customHeight="1">
      <c r="C191" s="75"/>
    </row>
    <row r="192" spans="3:3" ht="12.5" customHeight="1">
      <c r="C192" s="75"/>
    </row>
    <row r="193" spans="3:3" ht="12.5" customHeight="1">
      <c r="C193" s="75"/>
    </row>
    <row r="194" spans="3:3" ht="12.5" customHeight="1">
      <c r="C194" s="75"/>
    </row>
    <row r="195" spans="3:3" ht="12.5" customHeight="1">
      <c r="C195" s="75"/>
    </row>
    <row r="196" spans="3:3" ht="12.5" customHeight="1">
      <c r="C196" s="75"/>
    </row>
    <row r="197" spans="3:3" ht="12.5" customHeight="1">
      <c r="C197" s="75"/>
    </row>
    <row r="198" spans="3:3" ht="12.5" customHeight="1">
      <c r="C198" s="75"/>
    </row>
    <row r="199" spans="3:3" ht="12.5" customHeight="1">
      <c r="C199" s="75"/>
    </row>
    <row r="200" spans="3:3" ht="12.5" customHeight="1">
      <c r="C200" s="75"/>
    </row>
    <row r="201" spans="3:3" ht="12.5" customHeight="1">
      <c r="C201" s="75"/>
    </row>
    <row r="202" spans="3:3" ht="12.5" customHeight="1">
      <c r="C202" s="75"/>
    </row>
    <row r="203" spans="3:3" ht="12.5" customHeight="1">
      <c r="C203" s="75"/>
    </row>
    <row r="204" spans="3:3" ht="12.5" customHeight="1">
      <c r="C204" s="75"/>
    </row>
    <row r="205" spans="3:3" ht="12.5" customHeight="1">
      <c r="C205" s="75"/>
    </row>
    <row r="206" spans="3:3" ht="12.5" customHeight="1">
      <c r="C206" s="75"/>
    </row>
    <row r="207" spans="3:3" ht="12.5" customHeight="1">
      <c r="C207" s="75"/>
    </row>
    <row r="208" spans="3:3" ht="12.5" customHeight="1">
      <c r="C208" s="75"/>
    </row>
    <row r="209" spans="3:3" ht="12.5" customHeight="1">
      <c r="C209" s="75"/>
    </row>
    <row r="210" spans="3:3" ht="12.5" customHeight="1">
      <c r="C210" s="75"/>
    </row>
    <row r="211" spans="3:3" ht="12.5" customHeight="1">
      <c r="C211" s="75"/>
    </row>
    <row r="212" spans="3:3" ht="12.5" customHeight="1">
      <c r="C212" s="75"/>
    </row>
    <row r="213" spans="3:3" ht="12.5" customHeight="1">
      <c r="C213" s="75"/>
    </row>
    <row r="214" spans="3:3" ht="12.5" customHeight="1">
      <c r="C214" s="75"/>
    </row>
    <row r="215" spans="3:3" ht="12.5" customHeight="1">
      <c r="C215" s="75"/>
    </row>
    <row r="216" spans="3:3" ht="12.5" customHeight="1">
      <c r="C216" s="75"/>
    </row>
    <row r="217" spans="3:3" ht="12.5" customHeight="1">
      <c r="C217" s="75"/>
    </row>
    <row r="218" spans="3:3" ht="12.5" customHeight="1">
      <c r="C218" s="75"/>
    </row>
    <row r="219" spans="3:3" ht="12.5" customHeight="1">
      <c r="C219" s="75"/>
    </row>
    <row r="220" spans="3:3" ht="12.5" customHeight="1">
      <c r="C220" s="75"/>
    </row>
    <row r="221" spans="3:3" ht="12.5" customHeight="1">
      <c r="C221" s="75"/>
    </row>
    <row r="222" spans="3:3" ht="12.5" customHeight="1">
      <c r="C222" s="75"/>
    </row>
    <row r="223" spans="3:3" ht="12.5" customHeight="1">
      <c r="C223" s="75"/>
    </row>
    <row r="224" spans="3:3" ht="12.5" customHeight="1">
      <c r="C224" s="75"/>
    </row>
    <row r="225" spans="3:3" ht="12.5" customHeight="1">
      <c r="C225" s="75"/>
    </row>
    <row r="226" spans="3:3" ht="12.5" customHeight="1">
      <c r="C226" s="75"/>
    </row>
    <row r="227" spans="3:3" ht="12.5" customHeight="1">
      <c r="C227" s="75"/>
    </row>
    <row r="228" spans="3:3" ht="12.5" customHeight="1">
      <c r="C228" s="75"/>
    </row>
    <row r="229" spans="3:3" ht="12.5" customHeight="1">
      <c r="C229" s="75"/>
    </row>
    <row r="230" spans="3:3" ht="12.5" customHeight="1">
      <c r="C230" s="75"/>
    </row>
    <row r="231" spans="3:3" ht="12.5" customHeight="1">
      <c r="C231" s="75"/>
    </row>
    <row r="232" spans="3:3" ht="12.5" customHeight="1">
      <c r="C232" s="75"/>
    </row>
    <row r="233" spans="3:3" ht="12.5" customHeight="1">
      <c r="C233" s="75"/>
    </row>
    <row r="234" spans="3:3" ht="12.5" customHeight="1">
      <c r="C234" s="75"/>
    </row>
    <row r="235" spans="3:3" ht="12.5" customHeight="1">
      <c r="C235" s="75"/>
    </row>
    <row r="236" spans="3:3" ht="12.5" customHeight="1">
      <c r="C236" s="75"/>
    </row>
    <row r="237" spans="3:3" ht="12.5" customHeight="1">
      <c r="C237" s="75"/>
    </row>
    <row r="238" spans="3:3" ht="12.5" customHeight="1">
      <c r="C238" s="75"/>
    </row>
    <row r="239" spans="3:3" ht="12.5" customHeight="1">
      <c r="C239" s="75"/>
    </row>
    <row r="240" spans="3:3" ht="12.5" customHeight="1">
      <c r="C240" s="75"/>
    </row>
    <row r="241" spans="3:3" ht="12.5" customHeight="1">
      <c r="C241" s="75"/>
    </row>
    <row r="242" spans="3:3" ht="12.5" customHeight="1">
      <c r="C242" s="75"/>
    </row>
    <row r="243" spans="3:3" ht="12.5" customHeight="1">
      <c r="C243" s="75"/>
    </row>
    <row r="244" spans="3:3" ht="12.5" customHeight="1">
      <c r="C244" s="75"/>
    </row>
    <row r="245" spans="3:3" ht="12.5" customHeight="1">
      <c r="C245" s="75"/>
    </row>
    <row r="246" spans="3:3" ht="12.5" customHeight="1">
      <c r="C246" s="75"/>
    </row>
    <row r="247" spans="3:3" ht="12.5" customHeight="1">
      <c r="C247" s="75"/>
    </row>
    <row r="248" spans="3:3" ht="12.5" customHeight="1">
      <c r="C248" s="75"/>
    </row>
    <row r="249" spans="3:3" ht="12.5" customHeight="1">
      <c r="C249" s="75"/>
    </row>
    <row r="250" spans="3:3" ht="12.5" customHeight="1">
      <c r="C250" s="75"/>
    </row>
    <row r="251" spans="3:3" ht="12.5" customHeight="1">
      <c r="C251" s="75"/>
    </row>
    <row r="252" spans="3:3" ht="12.5" customHeight="1">
      <c r="C252" s="75"/>
    </row>
    <row r="253" spans="3:3" ht="12.5" customHeight="1">
      <c r="C253" s="75"/>
    </row>
    <row r="254" spans="3:3" ht="12.5" customHeight="1">
      <c r="C254" s="75"/>
    </row>
    <row r="255" spans="3:3" ht="12.5" customHeight="1">
      <c r="C255" s="75"/>
    </row>
    <row r="256" spans="3:3" ht="12.5" customHeight="1">
      <c r="C256" s="75"/>
    </row>
    <row r="257" spans="3:3" ht="12.5" customHeight="1">
      <c r="C257" s="75"/>
    </row>
    <row r="258" spans="3:3" ht="12.5" customHeight="1">
      <c r="C258" s="75"/>
    </row>
    <row r="259" spans="3:3" ht="12.5" customHeight="1">
      <c r="C259" s="75"/>
    </row>
    <row r="260" spans="3:3" ht="12.5" customHeight="1">
      <c r="C260" s="75"/>
    </row>
    <row r="261" spans="3:3" ht="12.5" customHeight="1">
      <c r="C261" s="75"/>
    </row>
    <row r="262" spans="3:3" ht="12.5" customHeight="1">
      <c r="C262" s="75"/>
    </row>
    <row r="263" spans="3:3" ht="12.5" customHeight="1">
      <c r="C263" s="75"/>
    </row>
    <row r="264" spans="3:3" ht="12.5" customHeight="1">
      <c r="C264" s="75"/>
    </row>
    <row r="265" spans="3:3" ht="12.5" customHeight="1">
      <c r="C265" s="75"/>
    </row>
    <row r="266" spans="3:3" ht="12.5" customHeight="1">
      <c r="C266" s="75"/>
    </row>
    <row r="267" spans="3:3" ht="12.5" customHeight="1">
      <c r="C267" s="75"/>
    </row>
    <row r="268" spans="3:3" ht="12.5" customHeight="1">
      <c r="C268" s="75"/>
    </row>
    <row r="269" spans="3:3" ht="12.5" customHeight="1">
      <c r="C269" s="75"/>
    </row>
    <row r="270" spans="3:3" ht="12.5" customHeight="1">
      <c r="C270" s="75"/>
    </row>
    <row r="271" spans="3:3" ht="12.5" customHeight="1">
      <c r="C271" s="75"/>
    </row>
    <row r="272" spans="3:3" ht="12.5" customHeight="1">
      <c r="C272" s="75"/>
    </row>
    <row r="273" spans="3:3" ht="12.5" customHeight="1">
      <c r="C273" s="75"/>
    </row>
    <row r="274" spans="3:3" ht="12.5" customHeight="1">
      <c r="C274" s="75"/>
    </row>
    <row r="275" spans="3:3" ht="12.5" customHeight="1">
      <c r="C275" s="75"/>
    </row>
    <row r="276" spans="3:3" ht="12.5" customHeight="1">
      <c r="C276" s="75"/>
    </row>
    <row r="277" spans="3:3" ht="12.5" customHeight="1">
      <c r="C277" s="75"/>
    </row>
    <row r="278" spans="3:3" ht="12.5" customHeight="1">
      <c r="C278" s="75"/>
    </row>
    <row r="279" spans="3:3" ht="12.5" customHeight="1">
      <c r="C279" s="75"/>
    </row>
    <row r="280" spans="3:3" ht="12.5" customHeight="1">
      <c r="C280" s="75"/>
    </row>
    <row r="281" spans="3:3" ht="12.5" customHeight="1">
      <c r="C281" s="75"/>
    </row>
    <row r="282" spans="3:3" ht="12.5" customHeight="1">
      <c r="C282" s="75"/>
    </row>
    <row r="283" spans="3:3" ht="12.5" customHeight="1">
      <c r="C283" s="75"/>
    </row>
    <row r="284" spans="3:3" ht="12.5" customHeight="1">
      <c r="C284" s="75"/>
    </row>
    <row r="285" spans="3:3" ht="12.5" customHeight="1">
      <c r="C285" s="75"/>
    </row>
    <row r="286" spans="3:3" ht="12.5" customHeight="1">
      <c r="C286" s="75"/>
    </row>
    <row r="287" spans="3:3" ht="12.5" customHeight="1">
      <c r="C287" s="75"/>
    </row>
    <row r="288" spans="3:3" ht="12.5" customHeight="1">
      <c r="C288" s="75"/>
    </row>
    <row r="289" spans="3:3" ht="12.5" customHeight="1">
      <c r="C289" s="75"/>
    </row>
    <row r="290" spans="3:3" ht="12.5" customHeight="1">
      <c r="C290" s="75"/>
    </row>
    <row r="291" spans="3:3" ht="12.5" customHeight="1">
      <c r="C291" s="75"/>
    </row>
    <row r="292" spans="3:3" ht="12.5" customHeight="1">
      <c r="C292" s="75"/>
    </row>
    <row r="293" spans="3:3" ht="12.5" customHeight="1">
      <c r="C293" s="75"/>
    </row>
    <row r="294" spans="3:3" ht="12.5" customHeight="1">
      <c r="C294" s="75"/>
    </row>
    <row r="295" spans="3:3" ht="12.5" customHeight="1">
      <c r="C295" s="75"/>
    </row>
    <row r="296" spans="3:3" ht="12.5" customHeight="1">
      <c r="C296" s="75"/>
    </row>
    <row r="297" spans="3:3" ht="12.5" customHeight="1">
      <c r="C297" s="75"/>
    </row>
    <row r="298" spans="3:3" ht="12.5" customHeight="1">
      <c r="C298" s="75"/>
    </row>
    <row r="299" spans="3:3" ht="12.5" customHeight="1">
      <c r="C299" s="75"/>
    </row>
    <row r="300" spans="3:3" ht="12.5" customHeight="1">
      <c r="C300" s="75"/>
    </row>
    <row r="301" spans="3:3" ht="12.5" customHeight="1">
      <c r="C301" s="75"/>
    </row>
    <row r="302" spans="3:3" ht="12.5" customHeight="1">
      <c r="C302" s="75"/>
    </row>
    <row r="303" spans="3:3" ht="12.5" customHeight="1">
      <c r="C303" s="75"/>
    </row>
    <row r="304" spans="3:3" ht="12.5" customHeight="1">
      <c r="C304" s="75"/>
    </row>
    <row r="305" spans="3:3" ht="12.5" customHeight="1">
      <c r="C305" s="75"/>
    </row>
    <row r="306" spans="3:3" ht="12.5" customHeight="1">
      <c r="C306" s="75"/>
    </row>
    <row r="307" spans="3:3" ht="12.5" customHeight="1">
      <c r="C307" s="75"/>
    </row>
    <row r="308" spans="3:3" ht="12.5" customHeight="1">
      <c r="C308" s="75"/>
    </row>
    <row r="309" spans="3:3" ht="12.5" customHeight="1">
      <c r="C309" s="75"/>
    </row>
    <row r="310" spans="3:3" ht="12.5" customHeight="1">
      <c r="C310" s="75"/>
    </row>
    <row r="311" spans="3:3" ht="12.5" customHeight="1">
      <c r="C311" s="75"/>
    </row>
    <row r="312" spans="3:3" ht="12.5" customHeight="1">
      <c r="C312" s="75"/>
    </row>
    <row r="313" spans="3:3" ht="12.5" customHeight="1">
      <c r="C313" s="75"/>
    </row>
    <row r="314" spans="3:3" ht="12.5" customHeight="1">
      <c r="C314" s="75"/>
    </row>
    <row r="315" spans="3:3" ht="12.5" customHeight="1">
      <c r="C315" s="75"/>
    </row>
    <row r="316" spans="3:3" ht="12.5" customHeight="1">
      <c r="C316" s="75"/>
    </row>
    <row r="317" spans="3:3" ht="12.5" customHeight="1">
      <c r="C317" s="75"/>
    </row>
    <row r="318" spans="3:3" ht="12.5" customHeight="1">
      <c r="C318" s="75"/>
    </row>
    <row r="319" spans="3:3" ht="12.5" customHeight="1">
      <c r="C319" s="75"/>
    </row>
    <row r="320" spans="3:3" ht="12.5" customHeight="1">
      <c r="C320" s="75"/>
    </row>
    <row r="321" spans="3:3" ht="12.5" customHeight="1">
      <c r="C321" s="75"/>
    </row>
    <row r="322" spans="3:3" ht="12.5" customHeight="1">
      <c r="C322" s="75"/>
    </row>
    <row r="323" spans="3:3" ht="12.5" customHeight="1">
      <c r="C323" s="75"/>
    </row>
    <row r="324" spans="3:3" ht="12.5" customHeight="1">
      <c r="C324" s="75"/>
    </row>
    <row r="325" spans="3:3" ht="12.5" customHeight="1">
      <c r="C325" s="75"/>
    </row>
    <row r="326" spans="3:3" ht="12.5" customHeight="1">
      <c r="C326" s="75"/>
    </row>
    <row r="327" spans="3:3" ht="12.5" customHeight="1">
      <c r="C327" s="75"/>
    </row>
    <row r="328" spans="3:3" ht="12.5" customHeight="1">
      <c r="C328" s="75"/>
    </row>
    <row r="329" spans="3:3" ht="12.5" customHeight="1">
      <c r="C329" s="75"/>
    </row>
    <row r="330" spans="3:3" ht="12.5" customHeight="1">
      <c r="C330" s="75"/>
    </row>
    <row r="331" spans="3:3" ht="12.5" customHeight="1">
      <c r="C331" s="75"/>
    </row>
    <row r="332" spans="3:3" ht="12.5" customHeight="1">
      <c r="C332" s="75"/>
    </row>
    <row r="333" spans="3:3" ht="12.5" customHeight="1">
      <c r="C333" s="75"/>
    </row>
    <row r="334" spans="3:3" ht="12.5" customHeight="1">
      <c r="C334" s="75"/>
    </row>
    <row r="335" spans="3:3" ht="12.5" customHeight="1">
      <c r="C335" s="75"/>
    </row>
    <row r="336" spans="3:3" ht="12.5" customHeight="1">
      <c r="C336" s="75"/>
    </row>
    <row r="337" spans="3:3" ht="12.5" customHeight="1">
      <c r="C337" s="75"/>
    </row>
    <row r="338" spans="3:3" ht="12.5" customHeight="1">
      <c r="C338" s="75"/>
    </row>
    <row r="339" spans="3:3" ht="12.5" customHeight="1">
      <c r="C339" s="75"/>
    </row>
    <row r="340" spans="3:3" ht="12.5" customHeight="1">
      <c r="C340" s="75"/>
    </row>
    <row r="341" spans="3:3" ht="12.5" customHeight="1">
      <c r="C341" s="75"/>
    </row>
    <row r="342" spans="3:3" ht="12.5" customHeight="1">
      <c r="C342" s="75"/>
    </row>
    <row r="343" spans="3:3" ht="12.5" customHeight="1">
      <c r="C343" s="75"/>
    </row>
    <row r="344" spans="3:3" ht="12.5" customHeight="1">
      <c r="C344" s="75"/>
    </row>
    <row r="345" spans="3:3" ht="12.5" customHeight="1">
      <c r="C345" s="75"/>
    </row>
    <row r="346" spans="3:3" ht="12.5" customHeight="1">
      <c r="C346" s="75"/>
    </row>
    <row r="347" spans="3:3" ht="12.5" customHeight="1">
      <c r="C347" s="75"/>
    </row>
    <row r="348" spans="3:3" ht="12.5" customHeight="1">
      <c r="C348" s="75"/>
    </row>
    <row r="349" spans="3:3" ht="12.5" customHeight="1">
      <c r="C349" s="75"/>
    </row>
    <row r="350" spans="3:3" ht="12.5" customHeight="1">
      <c r="C350" s="75"/>
    </row>
    <row r="351" spans="3:3" ht="12.5" customHeight="1">
      <c r="C351" s="75"/>
    </row>
    <row r="352" spans="3:3" ht="12.5" customHeight="1">
      <c r="C352" s="75"/>
    </row>
    <row r="353" spans="3:3" ht="12.5" customHeight="1">
      <c r="C353" s="75"/>
    </row>
    <row r="354" spans="3:3" ht="12.5" customHeight="1">
      <c r="C354" s="75"/>
    </row>
    <row r="355" spans="3:3" ht="12.5" customHeight="1">
      <c r="C355" s="75"/>
    </row>
    <row r="356" spans="3:3" ht="12.5" customHeight="1">
      <c r="C356" s="75"/>
    </row>
    <row r="357" spans="3:3" ht="12.5" customHeight="1">
      <c r="C357" s="75"/>
    </row>
    <row r="358" spans="3:3" ht="12.5" customHeight="1">
      <c r="C358" s="75"/>
    </row>
    <row r="359" spans="3:3" ht="12.5" customHeight="1">
      <c r="C359" s="75"/>
    </row>
    <row r="360" spans="3:3" ht="12.5" customHeight="1">
      <c r="C360" s="75"/>
    </row>
    <row r="361" spans="3:3" ht="12.5" customHeight="1">
      <c r="C361" s="75"/>
    </row>
    <row r="362" spans="3:3" ht="12.5" customHeight="1">
      <c r="C362" s="75"/>
    </row>
    <row r="363" spans="3:3" ht="12.5" customHeight="1">
      <c r="C363" s="75"/>
    </row>
    <row r="364" spans="3:3" ht="12.5" customHeight="1">
      <c r="C364" s="75"/>
    </row>
    <row r="365" spans="3:3" ht="12.5" customHeight="1">
      <c r="C365" s="75"/>
    </row>
    <row r="366" spans="3:3" ht="12.5" customHeight="1">
      <c r="C366" s="75"/>
    </row>
    <row r="367" spans="3:3" ht="12.5" customHeight="1">
      <c r="C367" s="75"/>
    </row>
    <row r="368" spans="3:3" ht="12.5" customHeight="1">
      <c r="C368" s="75"/>
    </row>
    <row r="369" spans="3:3" ht="12.5" customHeight="1">
      <c r="C369" s="75"/>
    </row>
    <row r="370" spans="3:3" ht="12.5" customHeight="1">
      <c r="C370" s="75"/>
    </row>
    <row r="371" spans="3:3" ht="12.5" customHeight="1">
      <c r="C371" s="75"/>
    </row>
    <row r="372" spans="3:3" ht="12.5" customHeight="1">
      <c r="C372" s="75"/>
    </row>
    <row r="373" spans="3:3" ht="12.5" customHeight="1">
      <c r="C373" s="75"/>
    </row>
    <row r="374" spans="3:3" ht="12.5" customHeight="1">
      <c r="C374" s="75"/>
    </row>
    <row r="375" spans="3:3" ht="12.5" customHeight="1">
      <c r="C375" s="75"/>
    </row>
    <row r="376" spans="3:3" ht="12.5" customHeight="1">
      <c r="C376" s="75"/>
    </row>
    <row r="377" spans="3:3" ht="12.5" customHeight="1">
      <c r="C377" s="75"/>
    </row>
    <row r="378" spans="3:3" ht="12.5" customHeight="1">
      <c r="C378" s="75"/>
    </row>
    <row r="379" spans="3:3" ht="12.5" customHeight="1">
      <c r="C379" s="75"/>
    </row>
    <row r="380" spans="3:3" ht="12.5" customHeight="1">
      <c r="C380" s="75"/>
    </row>
    <row r="381" spans="3:3" ht="12.5" customHeight="1">
      <c r="C381" s="75"/>
    </row>
    <row r="382" spans="3:3" ht="12.5" customHeight="1">
      <c r="C382" s="75"/>
    </row>
    <row r="383" spans="3:3" ht="12.5" customHeight="1">
      <c r="C383" s="75"/>
    </row>
    <row r="384" spans="3:3" ht="12.5" customHeight="1">
      <c r="C384" s="75"/>
    </row>
    <row r="385" spans="3:3" ht="12.5" customHeight="1">
      <c r="C385" s="75"/>
    </row>
    <row r="386" spans="3:3" ht="12.5" customHeight="1">
      <c r="C386" s="75"/>
    </row>
    <row r="387" spans="3:3" ht="12.5" customHeight="1">
      <c r="C387" s="75"/>
    </row>
    <row r="388" spans="3:3" ht="12.5" customHeight="1">
      <c r="C388" s="75"/>
    </row>
    <row r="389" spans="3:3" ht="12.5" customHeight="1">
      <c r="C389" s="75"/>
    </row>
    <row r="390" spans="3:3" ht="12.5" customHeight="1">
      <c r="C390" s="75"/>
    </row>
    <row r="391" spans="3:3" ht="12.5" customHeight="1">
      <c r="C391" s="75"/>
    </row>
    <row r="392" spans="3:3" ht="12.5" customHeight="1">
      <c r="C392" s="75"/>
    </row>
    <row r="393" spans="3:3" ht="12.5" customHeight="1">
      <c r="C393" s="75"/>
    </row>
    <row r="394" spans="3:3" ht="12.5" customHeight="1">
      <c r="C394" s="75"/>
    </row>
    <row r="395" spans="3:3" ht="12.5" customHeight="1">
      <c r="C395" s="75"/>
    </row>
    <row r="396" spans="3:3" ht="12.5" customHeight="1">
      <c r="C396" s="75"/>
    </row>
    <row r="397" spans="3:3" ht="12.5" customHeight="1">
      <c r="C397" s="75"/>
    </row>
    <row r="398" spans="3:3" ht="12.5" customHeight="1">
      <c r="C398" s="75"/>
    </row>
    <row r="399" spans="3:3" ht="12.5" customHeight="1">
      <c r="C399" s="75"/>
    </row>
    <row r="400" spans="3:3" ht="12.5" customHeight="1">
      <c r="C400" s="75"/>
    </row>
    <row r="401" spans="3:3" ht="12.5" customHeight="1">
      <c r="C401" s="75"/>
    </row>
    <row r="402" spans="3:3" ht="12.5" customHeight="1">
      <c r="C402" s="75"/>
    </row>
    <row r="403" spans="3:3" ht="12.5" customHeight="1">
      <c r="C403" s="75"/>
    </row>
    <row r="404" spans="3:3" ht="12.5" customHeight="1">
      <c r="C404" s="75"/>
    </row>
    <row r="405" spans="3:3" ht="12.5" customHeight="1">
      <c r="C405" s="75"/>
    </row>
    <row r="406" spans="3:3" ht="12.5" customHeight="1">
      <c r="C406" s="75"/>
    </row>
    <row r="407" spans="3:3" ht="12.5" customHeight="1">
      <c r="C407" s="75"/>
    </row>
    <row r="408" spans="3:3" ht="12.5" customHeight="1">
      <c r="C408" s="75"/>
    </row>
    <row r="409" spans="3:3" ht="12.5" customHeight="1">
      <c r="C409" s="75"/>
    </row>
    <row r="410" spans="3:3" ht="12.5" customHeight="1">
      <c r="C410" s="75"/>
    </row>
    <row r="411" spans="3:3" ht="12.5" customHeight="1">
      <c r="C411" s="75"/>
    </row>
    <row r="412" spans="3:3" ht="12.5" customHeight="1">
      <c r="C412" s="75"/>
    </row>
    <row r="413" spans="3:3" ht="12.5" customHeight="1">
      <c r="C413" s="75"/>
    </row>
    <row r="414" spans="3:3" ht="12.5" customHeight="1">
      <c r="C414" s="75"/>
    </row>
    <row r="415" spans="3:3" ht="12.5" customHeight="1">
      <c r="C415" s="75"/>
    </row>
    <row r="416" spans="3:3" ht="12.5" customHeight="1">
      <c r="C416" s="75"/>
    </row>
    <row r="417" spans="3:3" ht="12.5" customHeight="1">
      <c r="C417" s="75"/>
    </row>
    <row r="418" spans="3:3" ht="12.5" customHeight="1">
      <c r="C418" s="75"/>
    </row>
    <row r="419" spans="3:3" ht="12.5" customHeight="1">
      <c r="C419" s="75"/>
    </row>
    <row r="420" spans="3:3" ht="12.5" customHeight="1">
      <c r="C420" s="75"/>
    </row>
    <row r="421" spans="3:3" ht="12.5" customHeight="1">
      <c r="C421" s="75"/>
    </row>
    <row r="422" spans="3:3" ht="12.5" customHeight="1">
      <c r="C422" s="75"/>
    </row>
    <row r="423" spans="3:3" ht="12.5" customHeight="1">
      <c r="C423" s="75"/>
    </row>
    <row r="424" spans="3:3" ht="12.5" customHeight="1">
      <c r="C424" s="75"/>
    </row>
    <row r="425" spans="3:3" ht="12.5" customHeight="1">
      <c r="C425" s="75"/>
    </row>
    <row r="426" spans="3:3" ht="12.5" customHeight="1">
      <c r="C426" s="75"/>
    </row>
    <row r="427" spans="3:3" ht="12.5" customHeight="1">
      <c r="C427" s="75"/>
    </row>
    <row r="428" spans="3:3" ht="12.5" customHeight="1">
      <c r="C428" s="75"/>
    </row>
    <row r="429" spans="3:3" ht="12.5" customHeight="1">
      <c r="C429" s="75"/>
    </row>
    <row r="430" spans="3:3" ht="12.5" customHeight="1">
      <c r="C430" s="75"/>
    </row>
    <row r="431" spans="3:3" ht="12.5" customHeight="1">
      <c r="C431" s="75"/>
    </row>
    <row r="432" spans="3:3" ht="12.5" customHeight="1">
      <c r="C432" s="75"/>
    </row>
    <row r="433" spans="3:3" ht="12.5" customHeight="1">
      <c r="C433" s="75"/>
    </row>
    <row r="434" spans="3:3" ht="12.5" customHeight="1">
      <c r="C434" s="75"/>
    </row>
    <row r="435" spans="3:3" ht="12.5" customHeight="1">
      <c r="C435" s="75"/>
    </row>
    <row r="436" spans="3:3" ht="12.5" customHeight="1">
      <c r="C436" s="75"/>
    </row>
    <row r="437" spans="3:3" ht="12.5" customHeight="1">
      <c r="C437" s="75"/>
    </row>
    <row r="438" spans="3:3" ht="12.5" customHeight="1">
      <c r="C438" s="75"/>
    </row>
    <row r="439" spans="3:3" ht="12.5" customHeight="1">
      <c r="C439" s="75"/>
    </row>
    <row r="440" spans="3:3" ht="12.5" customHeight="1">
      <c r="C440" s="75"/>
    </row>
    <row r="441" spans="3:3" ht="12.5" customHeight="1">
      <c r="C441" s="75"/>
    </row>
    <row r="442" spans="3:3" ht="12.5" customHeight="1">
      <c r="C442" s="75"/>
    </row>
    <row r="443" spans="3:3" ht="12.5" customHeight="1">
      <c r="C443" s="75"/>
    </row>
    <row r="444" spans="3:3" ht="12.5" customHeight="1">
      <c r="C444" s="75"/>
    </row>
    <row r="445" spans="3:3" ht="12.5" customHeight="1">
      <c r="C445" s="75"/>
    </row>
    <row r="446" spans="3:3" ht="12.5" customHeight="1">
      <c r="C446" s="75"/>
    </row>
    <row r="447" spans="3:3" ht="12.5" customHeight="1">
      <c r="C447" s="75"/>
    </row>
    <row r="448" spans="3:3" ht="12.5" customHeight="1">
      <c r="C448" s="75"/>
    </row>
    <row r="449" spans="3:3" ht="12.5" customHeight="1">
      <c r="C449" s="75"/>
    </row>
    <row r="450" spans="3:3" ht="12.5" customHeight="1">
      <c r="C450" s="75"/>
    </row>
    <row r="451" spans="3:3" ht="12.5" customHeight="1">
      <c r="C451" s="75"/>
    </row>
    <row r="452" spans="3:3" ht="12.5" customHeight="1">
      <c r="C452" s="75"/>
    </row>
    <row r="453" spans="3:3" ht="12.5" customHeight="1">
      <c r="C453" s="75"/>
    </row>
    <row r="454" spans="3:3" ht="12.5" customHeight="1">
      <c r="C454" s="75"/>
    </row>
    <row r="455" spans="3:3" ht="12.5" customHeight="1">
      <c r="C455" s="75"/>
    </row>
    <row r="456" spans="3:3" ht="12.5" customHeight="1">
      <c r="C456" s="75"/>
    </row>
    <row r="457" spans="3:3" ht="12.5" customHeight="1">
      <c r="C457" s="75"/>
    </row>
    <row r="458" spans="3:3" ht="12.5" customHeight="1">
      <c r="C458" s="75"/>
    </row>
    <row r="459" spans="3:3" ht="12.5" customHeight="1">
      <c r="C459" s="75"/>
    </row>
    <row r="460" spans="3:3" ht="12.5" customHeight="1">
      <c r="C460" s="75"/>
    </row>
    <row r="461" spans="3:3" ht="12.5" customHeight="1">
      <c r="C461" s="75"/>
    </row>
    <row r="462" spans="3:3" ht="12.5" customHeight="1">
      <c r="C462" s="75"/>
    </row>
    <row r="463" spans="3:3" ht="12.5" customHeight="1">
      <c r="C463" s="75"/>
    </row>
    <row r="464" spans="3:3" ht="12.5" customHeight="1">
      <c r="C464" s="75"/>
    </row>
    <row r="465" spans="3:3" ht="12.5" customHeight="1">
      <c r="C465" s="75"/>
    </row>
    <row r="466" spans="3:3" ht="12.5" customHeight="1">
      <c r="C466" s="75"/>
    </row>
    <row r="467" spans="3:3" ht="12.5" customHeight="1">
      <c r="C467" s="75"/>
    </row>
    <row r="468" spans="3:3" ht="12.5" customHeight="1">
      <c r="C468" s="75"/>
    </row>
    <row r="469" spans="3:3" ht="12.5" customHeight="1">
      <c r="C469" s="75"/>
    </row>
    <row r="470" spans="3:3" ht="12.5" customHeight="1">
      <c r="C470" s="75"/>
    </row>
    <row r="471" spans="3:3" ht="12.5" customHeight="1">
      <c r="C471" s="75"/>
    </row>
    <row r="472" spans="3:3" ht="12.5" customHeight="1">
      <c r="C472" s="75"/>
    </row>
    <row r="473" spans="3:3" ht="12.5" customHeight="1">
      <c r="C473" s="75"/>
    </row>
    <row r="474" spans="3:3" ht="12.5" customHeight="1">
      <c r="C474" s="75"/>
    </row>
    <row r="475" spans="3:3" ht="12.5" customHeight="1">
      <c r="C475" s="75"/>
    </row>
    <row r="476" spans="3:3" ht="12.5" customHeight="1">
      <c r="C476" s="75"/>
    </row>
    <row r="477" spans="3:3" ht="12.5" customHeight="1">
      <c r="C477" s="75"/>
    </row>
    <row r="478" spans="3:3" ht="12.5" customHeight="1">
      <c r="C478" s="75"/>
    </row>
    <row r="479" spans="3:3" ht="12.5" customHeight="1">
      <c r="C479" s="75"/>
    </row>
    <row r="480" spans="3:3" ht="12.5" customHeight="1">
      <c r="C480" s="75"/>
    </row>
    <row r="481" spans="3:3" ht="12.5" customHeight="1">
      <c r="C481" s="75"/>
    </row>
    <row r="482" spans="3:3" ht="12.5" customHeight="1">
      <c r="C482" s="75"/>
    </row>
    <row r="483" spans="3:3" ht="12.5" customHeight="1">
      <c r="C483" s="75"/>
    </row>
    <row r="484" spans="3:3" ht="12.5" customHeight="1">
      <c r="C484" s="75"/>
    </row>
    <row r="485" spans="3:3" ht="12.5" customHeight="1">
      <c r="C485" s="75"/>
    </row>
    <row r="486" spans="3:3" ht="12.5" customHeight="1">
      <c r="C486" s="75"/>
    </row>
    <row r="487" spans="3:3" ht="12.5" customHeight="1">
      <c r="C487" s="75"/>
    </row>
    <row r="488" spans="3:3" ht="12.5" customHeight="1">
      <c r="C488" s="75"/>
    </row>
    <row r="489" spans="3:3" ht="12.5" customHeight="1">
      <c r="C489" s="75"/>
    </row>
    <row r="490" spans="3:3" ht="12.5" customHeight="1">
      <c r="C490" s="75"/>
    </row>
    <row r="491" spans="3:3" ht="12.5" customHeight="1">
      <c r="C491" s="75"/>
    </row>
    <row r="492" spans="3:3" ht="12.5" customHeight="1">
      <c r="C492" s="75"/>
    </row>
    <row r="493" spans="3:3" ht="12.5" customHeight="1">
      <c r="C493" s="75"/>
    </row>
    <row r="494" spans="3:3" ht="12.5" customHeight="1">
      <c r="C494" s="75"/>
    </row>
    <row r="495" spans="3:3" ht="12.5" customHeight="1">
      <c r="C495" s="75"/>
    </row>
    <row r="496" spans="3:3" ht="12.5" customHeight="1">
      <c r="C496" s="75"/>
    </row>
    <row r="497" spans="3:3" ht="12.5" customHeight="1">
      <c r="C497" s="75"/>
    </row>
    <row r="498" spans="3:3" ht="12.5" customHeight="1">
      <c r="C498" s="75"/>
    </row>
    <row r="499" spans="3:3" ht="12.5" customHeight="1">
      <c r="C499" s="75"/>
    </row>
    <row r="500" spans="3:3" ht="12.5" customHeight="1">
      <c r="C500" s="75"/>
    </row>
    <row r="501" spans="3:3" ht="12.5" customHeight="1">
      <c r="C501" s="75"/>
    </row>
    <row r="502" spans="3:3" ht="12.5" customHeight="1">
      <c r="C502" s="75"/>
    </row>
    <row r="503" spans="3:3" ht="12.5" customHeight="1">
      <c r="C503" s="75"/>
    </row>
    <row r="504" spans="3:3" ht="12.5" customHeight="1">
      <c r="C504" s="75"/>
    </row>
    <row r="505" spans="3:3" ht="12.5" customHeight="1">
      <c r="C505" s="75"/>
    </row>
    <row r="506" spans="3:3" ht="12.5" customHeight="1">
      <c r="C506" s="75"/>
    </row>
    <row r="507" spans="3:3" ht="12.5" customHeight="1">
      <c r="C507" s="75"/>
    </row>
    <row r="508" spans="3:3" ht="12.5" customHeight="1">
      <c r="C508" s="75"/>
    </row>
    <row r="509" spans="3:3" ht="12.5" customHeight="1">
      <c r="C509" s="75"/>
    </row>
    <row r="510" spans="3:3" ht="12.5" customHeight="1">
      <c r="C510" s="75"/>
    </row>
    <row r="511" spans="3:3" ht="12.5" customHeight="1">
      <c r="C511" s="75"/>
    </row>
    <row r="512" spans="3:3" ht="12.5" customHeight="1">
      <c r="C512" s="75"/>
    </row>
    <row r="513" spans="3:3" ht="12.5" customHeight="1">
      <c r="C513" s="75"/>
    </row>
    <row r="514" spans="3:3" ht="12.5" customHeight="1">
      <c r="C514" s="75"/>
    </row>
    <row r="515" spans="3:3" ht="12.5" customHeight="1">
      <c r="C515" s="75"/>
    </row>
    <row r="516" spans="3:3" ht="12.5" customHeight="1">
      <c r="C516" s="75"/>
    </row>
    <row r="517" spans="3:3" ht="12.5" customHeight="1">
      <c r="C517" s="75"/>
    </row>
    <row r="518" spans="3:3" ht="12.5" customHeight="1">
      <c r="C518" s="75"/>
    </row>
    <row r="519" spans="3:3" ht="12.5" customHeight="1">
      <c r="C519" s="75"/>
    </row>
    <row r="520" spans="3:3" ht="12.5" customHeight="1">
      <c r="C520" s="75"/>
    </row>
    <row r="521" spans="3:3" ht="12.5" customHeight="1">
      <c r="C521" s="75"/>
    </row>
    <row r="522" spans="3:3" ht="12.5" customHeight="1">
      <c r="C522" s="75"/>
    </row>
    <row r="523" spans="3:3" ht="12.5" customHeight="1">
      <c r="C523" s="75"/>
    </row>
    <row r="524" spans="3:3" ht="12.5" customHeight="1">
      <c r="C524" s="75"/>
    </row>
    <row r="525" spans="3:3" ht="12.5" customHeight="1">
      <c r="C525" s="75"/>
    </row>
    <row r="526" spans="3:3" ht="12.5" customHeight="1">
      <c r="C526" s="75"/>
    </row>
    <row r="527" spans="3:3" ht="12.5" customHeight="1">
      <c r="C527" s="75"/>
    </row>
    <row r="528" spans="3:3" ht="12.5" customHeight="1">
      <c r="C528" s="75"/>
    </row>
    <row r="529" spans="3:3" ht="12.5" customHeight="1">
      <c r="C529" s="75"/>
    </row>
    <row r="530" spans="3:3" ht="12.5" customHeight="1">
      <c r="C530" s="75"/>
    </row>
    <row r="531" spans="3:3" ht="12.5" customHeight="1">
      <c r="C531" s="75"/>
    </row>
    <row r="532" spans="3:3" ht="12.5" customHeight="1">
      <c r="C532" s="75"/>
    </row>
    <row r="533" spans="3:3" ht="12.5" customHeight="1">
      <c r="C533" s="75"/>
    </row>
    <row r="534" spans="3:3" ht="12.5" customHeight="1">
      <c r="C534" s="75"/>
    </row>
    <row r="535" spans="3:3" ht="12.5" customHeight="1">
      <c r="C535" s="75"/>
    </row>
    <row r="536" spans="3:3" ht="12.5" customHeight="1">
      <c r="C536" s="75"/>
    </row>
    <row r="537" spans="3:3" ht="12.5" customHeight="1">
      <c r="C537" s="75"/>
    </row>
    <row r="538" spans="3:3" ht="12.5" customHeight="1">
      <c r="C538" s="75"/>
    </row>
    <row r="539" spans="3:3" ht="12.5" customHeight="1">
      <c r="C539" s="75"/>
    </row>
    <row r="540" spans="3:3" ht="12.5" customHeight="1">
      <c r="C540" s="75"/>
    </row>
    <row r="541" spans="3:3" ht="12.5" customHeight="1">
      <c r="C541" s="75"/>
    </row>
    <row r="542" spans="3:3" ht="12.5" customHeight="1">
      <c r="C542" s="75"/>
    </row>
    <row r="543" spans="3:3" ht="12.5" customHeight="1">
      <c r="C543" s="75"/>
    </row>
    <row r="544" spans="3:3" ht="12.5" customHeight="1">
      <c r="C544" s="75"/>
    </row>
    <row r="545" spans="3:3" ht="12.5" customHeight="1">
      <c r="C545" s="75"/>
    </row>
    <row r="546" spans="3:3" ht="12.5" customHeight="1">
      <c r="C546" s="75"/>
    </row>
    <row r="547" spans="3:3" ht="12.5" customHeight="1">
      <c r="C547" s="75"/>
    </row>
    <row r="548" spans="3:3" ht="12.5" customHeight="1">
      <c r="C548" s="75"/>
    </row>
    <row r="549" spans="3:3" ht="12.5" customHeight="1">
      <c r="C549" s="75"/>
    </row>
    <row r="550" spans="3:3" ht="12.5" customHeight="1">
      <c r="C550" s="75"/>
    </row>
    <row r="551" spans="3:3" ht="12.5" customHeight="1">
      <c r="C551" s="75"/>
    </row>
    <row r="552" spans="3:3" ht="12.5" customHeight="1">
      <c r="C552" s="75"/>
    </row>
    <row r="553" spans="3:3" ht="12.5" customHeight="1">
      <c r="C553" s="75"/>
    </row>
    <row r="554" spans="3:3" ht="12.5" customHeight="1">
      <c r="C554" s="75"/>
    </row>
    <row r="555" spans="3:3" ht="12.5" customHeight="1">
      <c r="C555" s="75"/>
    </row>
    <row r="556" spans="3:3" ht="12.5" customHeight="1">
      <c r="C556" s="75"/>
    </row>
    <row r="557" spans="3:3" ht="12.5" customHeight="1">
      <c r="C557" s="75"/>
    </row>
    <row r="558" spans="3:3" ht="12.5" customHeight="1">
      <c r="C558" s="75"/>
    </row>
    <row r="559" spans="3:3" ht="12.5" customHeight="1">
      <c r="C559" s="75"/>
    </row>
    <row r="560" spans="3:3" ht="12.5" customHeight="1">
      <c r="C560" s="75"/>
    </row>
    <row r="561" spans="3:3" ht="12.5" customHeight="1">
      <c r="C561" s="75"/>
    </row>
    <row r="562" spans="3:3" ht="12.5" customHeight="1">
      <c r="C562" s="75"/>
    </row>
    <row r="563" spans="3:3" ht="12.5" customHeight="1">
      <c r="C563" s="75"/>
    </row>
    <row r="564" spans="3:3" ht="12.5" customHeight="1">
      <c r="C564" s="75"/>
    </row>
    <row r="565" spans="3:3" ht="12.5" customHeight="1">
      <c r="C565" s="75"/>
    </row>
    <row r="566" spans="3:3" ht="12.5" customHeight="1">
      <c r="C566" s="75"/>
    </row>
    <row r="567" spans="3:3" ht="12.5" customHeight="1">
      <c r="C567" s="75"/>
    </row>
    <row r="568" spans="3:3" ht="12.5" customHeight="1">
      <c r="C568" s="75"/>
    </row>
    <row r="569" spans="3:3" ht="12.5" customHeight="1">
      <c r="C569" s="75"/>
    </row>
    <row r="570" spans="3:3" ht="12.5" customHeight="1">
      <c r="C570" s="75"/>
    </row>
    <row r="571" spans="3:3" ht="12.5" customHeight="1">
      <c r="C571" s="75"/>
    </row>
    <row r="572" spans="3:3" ht="12.5" customHeight="1">
      <c r="C572" s="75"/>
    </row>
    <row r="573" spans="3:3" ht="12.5" customHeight="1">
      <c r="C573" s="75"/>
    </row>
    <row r="574" spans="3:3" ht="12.5" customHeight="1">
      <c r="C574" s="75"/>
    </row>
    <row r="575" spans="3:3" ht="12.5" customHeight="1">
      <c r="C575" s="75"/>
    </row>
    <row r="576" spans="3:3" ht="12.5" customHeight="1">
      <c r="C576" s="75"/>
    </row>
    <row r="577" spans="3:3" ht="12.5" customHeight="1">
      <c r="C577" s="75"/>
    </row>
    <row r="578" spans="3:3" ht="12.5" customHeight="1">
      <c r="C578" s="75"/>
    </row>
    <row r="579" spans="3:3" ht="12.5" customHeight="1">
      <c r="C579" s="75"/>
    </row>
    <row r="580" spans="3:3" ht="12.5" customHeight="1">
      <c r="C580" s="75"/>
    </row>
    <row r="581" spans="3:3" ht="12.5" customHeight="1">
      <c r="C581" s="75"/>
    </row>
    <row r="582" spans="3:3" ht="12.5" customHeight="1">
      <c r="C582" s="75"/>
    </row>
    <row r="583" spans="3:3" ht="12.5" customHeight="1">
      <c r="C583" s="75"/>
    </row>
    <row r="584" spans="3:3" ht="12.5" customHeight="1">
      <c r="C584" s="75"/>
    </row>
    <row r="585" spans="3:3" ht="12.5" customHeight="1">
      <c r="C585" s="75"/>
    </row>
    <row r="586" spans="3:3" ht="12.5" customHeight="1">
      <c r="C586" s="75"/>
    </row>
    <row r="587" spans="3:3" ht="12.5" customHeight="1">
      <c r="C587" s="75"/>
    </row>
    <row r="588" spans="3:3" ht="12.5" customHeight="1">
      <c r="C588" s="75"/>
    </row>
    <row r="589" spans="3:3" ht="12.5" customHeight="1">
      <c r="C589" s="75"/>
    </row>
    <row r="590" spans="3:3" ht="12.5" customHeight="1">
      <c r="C590" s="75"/>
    </row>
    <row r="591" spans="3:3" ht="12.5" customHeight="1">
      <c r="C591" s="75"/>
    </row>
    <row r="592" spans="3:3" ht="12.5" customHeight="1">
      <c r="C592" s="75"/>
    </row>
    <row r="593" spans="3:3" ht="12.5" customHeight="1">
      <c r="C593" s="75"/>
    </row>
    <row r="594" spans="3:3" ht="12.5" customHeight="1">
      <c r="C594" s="75"/>
    </row>
    <row r="595" spans="3:3" ht="12.5" customHeight="1">
      <c r="C595" s="75"/>
    </row>
    <row r="596" spans="3:3" ht="12.5" customHeight="1">
      <c r="C596" s="75"/>
    </row>
    <row r="597" spans="3:3" ht="12.5" customHeight="1">
      <c r="C597" s="75"/>
    </row>
    <row r="598" spans="3:3" ht="12.5" customHeight="1">
      <c r="C598" s="75"/>
    </row>
    <row r="599" spans="3:3" ht="12.5" customHeight="1">
      <c r="C599" s="75"/>
    </row>
    <row r="600" spans="3:3" ht="12.5" customHeight="1">
      <c r="C600" s="75"/>
    </row>
    <row r="601" spans="3:3" ht="12.5" customHeight="1">
      <c r="C601" s="75"/>
    </row>
    <row r="602" spans="3:3" ht="12.5" customHeight="1">
      <c r="C602" s="75"/>
    </row>
    <row r="603" spans="3:3" ht="12.5" customHeight="1">
      <c r="C603" s="75"/>
    </row>
    <row r="604" spans="3:3" ht="12.5" customHeight="1">
      <c r="C604" s="75"/>
    </row>
    <row r="605" spans="3:3" ht="12.5" customHeight="1">
      <c r="C605" s="75"/>
    </row>
    <row r="606" spans="3:3" ht="12.5" customHeight="1">
      <c r="C606" s="75"/>
    </row>
    <row r="607" spans="3:3" ht="12.5" customHeight="1">
      <c r="C607" s="75"/>
    </row>
    <row r="608" spans="3:3" ht="12.5" customHeight="1">
      <c r="C608" s="75"/>
    </row>
    <row r="609" spans="3:3" ht="12.5" customHeight="1">
      <c r="C609" s="75"/>
    </row>
    <row r="610" spans="3:3" ht="12.5" customHeight="1">
      <c r="C610" s="75"/>
    </row>
    <row r="611" spans="3:3" ht="12.5" customHeight="1">
      <c r="C611" s="75"/>
    </row>
    <row r="612" spans="3:3" ht="12.5" customHeight="1">
      <c r="C612" s="75"/>
    </row>
    <row r="613" spans="3:3" ht="12.5" customHeight="1">
      <c r="C613" s="75"/>
    </row>
    <row r="614" spans="3:3" ht="12.5" customHeight="1">
      <c r="C614" s="75"/>
    </row>
    <row r="615" spans="3:3" ht="12.5" customHeight="1">
      <c r="C615" s="75"/>
    </row>
    <row r="616" spans="3:3" ht="12.5" customHeight="1">
      <c r="C616" s="75"/>
    </row>
    <row r="617" spans="3:3" ht="12.5" customHeight="1">
      <c r="C617" s="75"/>
    </row>
    <row r="618" spans="3:3" ht="12.5" customHeight="1">
      <c r="C618" s="75"/>
    </row>
    <row r="619" spans="3:3" ht="12.5" customHeight="1">
      <c r="C619" s="75"/>
    </row>
    <row r="620" spans="3:3" ht="12.5" customHeight="1">
      <c r="C620" s="75"/>
    </row>
    <row r="621" spans="3:3" ht="12.5" customHeight="1">
      <c r="C621" s="75"/>
    </row>
    <row r="622" spans="3:3" ht="12.5" customHeight="1">
      <c r="C622" s="75"/>
    </row>
    <row r="623" spans="3:3" ht="12.5" customHeight="1">
      <c r="C623" s="75"/>
    </row>
    <row r="624" spans="3:3" ht="12.5" customHeight="1">
      <c r="C624" s="75"/>
    </row>
    <row r="625" spans="3:3" ht="12.5" customHeight="1">
      <c r="C625" s="75"/>
    </row>
    <row r="626" spans="3:3" ht="12.5" customHeight="1">
      <c r="C626" s="75"/>
    </row>
    <row r="627" spans="3:3" ht="12.5" customHeight="1">
      <c r="C627" s="75"/>
    </row>
    <row r="628" spans="3:3" ht="12.5" customHeight="1">
      <c r="C628" s="75"/>
    </row>
    <row r="629" spans="3:3" ht="12.5" customHeight="1">
      <c r="C629" s="75"/>
    </row>
    <row r="630" spans="3:3" ht="12.5" customHeight="1">
      <c r="C630" s="75"/>
    </row>
    <row r="631" spans="3:3" ht="12.5" customHeight="1">
      <c r="C631" s="75"/>
    </row>
    <row r="632" spans="3:3" ht="12.5" customHeight="1">
      <c r="C632" s="75"/>
    </row>
    <row r="633" spans="3:3" ht="12.5" customHeight="1">
      <c r="C633" s="75"/>
    </row>
    <row r="634" spans="3:3" ht="12.5" customHeight="1">
      <c r="C634" s="75"/>
    </row>
    <row r="635" spans="3:3" ht="12.5" customHeight="1">
      <c r="C635" s="75"/>
    </row>
    <row r="636" spans="3:3" ht="12.5" customHeight="1">
      <c r="C636" s="75"/>
    </row>
    <row r="637" spans="3:3" ht="12.5" customHeight="1">
      <c r="C637" s="75"/>
    </row>
    <row r="638" spans="3:3" ht="12.5" customHeight="1">
      <c r="C638" s="75"/>
    </row>
    <row r="639" spans="3:3" ht="12.5" customHeight="1">
      <c r="C639" s="75"/>
    </row>
    <row r="640" spans="3:3" ht="12.5" customHeight="1">
      <c r="C640" s="75"/>
    </row>
    <row r="641" spans="3:3" ht="12.5" customHeight="1">
      <c r="C641" s="75"/>
    </row>
    <row r="642" spans="3:3" ht="12.5" customHeight="1">
      <c r="C642" s="75"/>
    </row>
    <row r="643" spans="3:3" ht="12.5" customHeight="1">
      <c r="C643" s="75"/>
    </row>
    <row r="644" spans="3:3" ht="12.5" customHeight="1">
      <c r="C644" s="75"/>
    </row>
    <row r="645" spans="3:3" ht="12.5" customHeight="1">
      <c r="C645" s="75"/>
    </row>
    <row r="646" spans="3:3" ht="12.5" customHeight="1">
      <c r="C646" s="75"/>
    </row>
    <row r="647" spans="3:3" ht="12.5" customHeight="1">
      <c r="C647" s="75"/>
    </row>
    <row r="648" spans="3:3" ht="12.5" customHeight="1">
      <c r="C648" s="75"/>
    </row>
    <row r="649" spans="3:3" ht="12.5" customHeight="1">
      <c r="C649" s="75"/>
    </row>
    <row r="650" spans="3:3" ht="12.5" customHeight="1">
      <c r="C650" s="75"/>
    </row>
    <row r="651" spans="3:3" ht="12.5" customHeight="1">
      <c r="C651" s="75"/>
    </row>
    <row r="652" spans="3:3" ht="12.5" customHeight="1">
      <c r="C652" s="75"/>
    </row>
    <row r="653" spans="3:3" ht="12.5" customHeight="1">
      <c r="C653" s="75"/>
    </row>
    <row r="654" spans="3:3" ht="12.5" customHeight="1">
      <c r="C654" s="75"/>
    </row>
    <row r="655" spans="3:3" ht="12.5" customHeight="1">
      <c r="C655" s="75"/>
    </row>
    <row r="656" spans="3:3" ht="12.5" customHeight="1">
      <c r="C656" s="75"/>
    </row>
    <row r="657" spans="3:3" ht="12.5" customHeight="1">
      <c r="C657" s="75"/>
    </row>
    <row r="658" spans="3:3" ht="12.5" customHeight="1">
      <c r="C658" s="75"/>
    </row>
    <row r="659" spans="3:3" ht="12.5" customHeight="1">
      <c r="C659" s="75"/>
    </row>
    <row r="660" spans="3:3" ht="12.5" customHeight="1">
      <c r="C660" s="75"/>
    </row>
    <row r="661" spans="3:3" ht="12.5" customHeight="1">
      <c r="C661" s="75"/>
    </row>
    <row r="662" spans="3:3" ht="12.5" customHeight="1">
      <c r="C662" s="75"/>
    </row>
    <row r="663" spans="3:3" ht="12.5" customHeight="1">
      <c r="C663" s="75"/>
    </row>
    <row r="664" spans="3:3" ht="12.5" customHeight="1">
      <c r="C664" s="75"/>
    </row>
    <row r="665" spans="3:3" ht="12.5" customHeight="1">
      <c r="C665" s="75"/>
    </row>
    <row r="666" spans="3:3" ht="12.5" customHeight="1">
      <c r="C666" s="75"/>
    </row>
    <row r="667" spans="3:3" ht="12.5" customHeight="1">
      <c r="C667" s="75"/>
    </row>
    <row r="668" spans="3:3" ht="12.5" customHeight="1">
      <c r="C668" s="75"/>
    </row>
    <row r="669" spans="3:3" ht="12.5" customHeight="1">
      <c r="C669" s="75"/>
    </row>
    <row r="670" spans="3:3" ht="12.5" customHeight="1">
      <c r="C670" s="75"/>
    </row>
    <row r="671" spans="3:3" ht="12.5" customHeight="1">
      <c r="C671" s="75"/>
    </row>
    <row r="672" spans="3:3" ht="12.5" customHeight="1">
      <c r="C672" s="75"/>
    </row>
    <row r="673" spans="3:3" ht="12.5" customHeight="1">
      <c r="C673" s="75"/>
    </row>
    <row r="674" spans="3:3" ht="12.5" customHeight="1">
      <c r="C674" s="75"/>
    </row>
    <row r="675" spans="3:3" ht="12.5" customHeight="1">
      <c r="C675" s="75"/>
    </row>
    <row r="676" spans="3:3" ht="12.5" customHeight="1">
      <c r="C676" s="75"/>
    </row>
    <row r="677" spans="3:3" ht="12.5" customHeight="1">
      <c r="C677" s="75"/>
    </row>
    <row r="678" spans="3:3" ht="12.5" customHeight="1">
      <c r="C678" s="75"/>
    </row>
    <row r="679" spans="3:3" ht="12.5" customHeight="1">
      <c r="C679" s="75"/>
    </row>
    <row r="680" spans="3:3" ht="12.5" customHeight="1">
      <c r="C680" s="75"/>
    </row>
    <row r="681" spans="3:3" ht="12.5" customHeight="1">
      <c r="C681" s="75"/>
    </row>
    <row r="682" spans="3:3" ht="12.5" customHeight="1">
      <c r="C682" s="75"/>
    </row>
    <row r="683" spans="3:3" ht="12.5" customHeight="1">
      <c r="C683" s="75"/>
    </row>
    <row r="684" spans="3:3" ht="12.5" customHeight="1">
      <c r="C684" s="75"/>
    </row>
    <row r="685" spans="3:3" ht="12.5" customHeight="1">
      <c r="C685" s="75"/>
    </row>
    <row r="686" spans="3:3" ht="12.5" customHeight="1">
      <c r="C686" s="75"/>
    </row>
    <row r="687" spans="3:3" ht="12.5" customHeight="1">
      <c r="C687" s="75"/>
    </row>
    <row r="688" spans="3:3" ht="12.5" customHeight="1">
      <c r="C688" s="75"/>
    </row>
    <row r="689" spans="3:3" ht="12.5" customHeight="1">
      <c r="C689" s="75"/>
    </row>
    <row r="690" spans="3:3" ht="12.5" customHeight="1">
      <c r="C690" s="75"/>
    </row>
    <row r="691" spans="3:3" ht="12.5" customHeight="1">
      <c r="C691" s="75"/>
    </row>
    <row r="692" spans="3:3" ht="12.5" customHeight="1">
      <c r="C692" s="75"/>
    </row>
    <row r="693" spans="3:3" ht="12.5" customHeight="1">
      <c r="C693" s="75"/>
    </row>
    <row r="694" spans="3:3" ht="12.5" customHeight="1">
      <c r="C694" s="75"/>
    </row>
    <row r="695" spans="3:3" ht="12.5" customHeight="1">
      <c r="C695" s="75"/>
    </row>
    <row r="696" spans="3:3" ht="12.5" customHeight="1">
      <c r="C696" s="75"/>
    </row>
    <row r="697" spans="3:3" ht="12.5" customHeight="1">
      <c r="C697" s="75"/>
    </row>
    <row r="698" spans="3:3" ht="12.5" customHeight="1">
      <c r="C698" s="75"/>
    </row>
    <row r="699" spans="3:3" ht="12.5" customHeight="1">
      <c r="C699" s="75"/>
    </row>
    <row r="700" spans="3:3" ht="12.5" customHeight="1">
      <c r="C700" s="75"/>
    </row>
    <row r="701" spans="3:3" ht="12.5" customHeight="1">
      <c r="C701" s="75"/>
    </row>
    <row r="702" spans="3:3" ht="12.5" customHeight="1">
      <c r="C702" s="75"/>
    </row>
    <row r="703" spans="3:3" ht="12.5" customHeight="1">
      <c r="C703" s="75"/>
    </row>
    <row r="704" spans="3:3" ht="12.5" customHeight="1">
      <c r="C704" s="75"/>
    </row>
    <row r="705" spans="3:3" ht="12.5" customHeight="1">
      <c r="C705" s="75"/>
    </row>
    <row r="706" spans="3:3" ht="12.5" customHeight="1">
      <c r="C706" s="75"/>
    </row>
    <row r="707" spans="3:3" ht="12.5" customHeight="1">
      <c r="C707" s="75"/>
    </row>
    <row r="708" spans="3:3" ht="12.5" customHeight="1">
      <c r="C708" s="75"/>
    </row>
    <row r="709" spans="3:3" ht="12.5" customHeight="1">
      <c r="C709" s="75"/>
    </row>
    <row r="710" spans="3:3" ht="12.5" customHeight="1">
      <c r="C710" s="75"/>
    </row>
    <row r="711" spans="3:3" ht="12.5" customHeight="1">
      <c r="C711" s="75"/>
    </row>
    <row r="712" spans="3:3" ht="12.5" customHeight="1">
      <c r="C712" s="75"/>
    </row>
    <row r="713" spans="3:3" ht="12.5" customHeight="1">
      <c r="C713" s="75"/>
    </row>
    <row r="714" spans="3:3" ht="12.5" customHeight="1">
      <c r="C714" s="75"/>
    </row>
    <row r="715" spans="3:3" ht="12.5" customHeight="1">
      <c r="C715" s="75"/>
    </row>
    <row r="716" spans="3:3" ht="12.5" customHeight="1">
      <c r="C716" s="75"/>
    </row>
    <row r="717" spans="3:3" ht="12.5" customHeight="1">
      <c r="C717" s="75"/>
    </row>
    <row r="718" spans="3:3" ht="12.5" customHeight="1">
      <c r="C718" s="75"/>
    </row>
    <row r="719" spans="3:3" ht="12.5" customHeight="1">
      <c r="C719" s="75"/>
    </row>
    <row r="720" spans="3:3" ht="12.5" customHeight="1">
      <c r="C720" s="75"/>
    </row>
    <row r="721" spans="3:3" ht="12.5" customHeight="1">
      <c r="C721" s="75"/>
    </row>
    <row r="722" spans="3:3" ht="12.5" customHeight="1">
      <c r="C722" s="75"/>
    </row>
    <row r="723" spans="3:3" ht="12.5" customHeight="1">
      <c r="C723" s="75"/>
    </row>
    <row r="724" spans="3:3" ht="12.5" customHeight="1">
      <c r="C724" s="75"/>
    </row>
    <row r="725" spans="3:3" ht="12.5" customHeight="1">
      <c r="C725" s="75"/>
    </row>
    <row r="726" spans="3:3" ht="12.5" customHeight="1">
      <c r="C726" s="75"/>
    </row>
    <row r="727" spans="3:3" ht="12.5" customHeight="1">
      <c r="C727" s="75"/>
    </row>
    <row r="728" spans="3:3" ht="12.5" customHeight="1">
      <c r="C728" s="75"/>
    </row>
    <row r="729" spans="3:3" ht="12.5" customHeight="1">
      <c r="C729" s="75"/>
    </row>
    <row r="730" spans="3:3" ht="12.5" customHeight="1">
      <c r="C730" s="75"/>
    </row>
    <row r="731" spans="3:3" ht="12.5" customHeight="1">
      <c r="C731" s="75"/>
    </row>
    <row r="732" spans="3:3" ht="12.5" customHeight="1">
      <c r="C732" s="75"/>
    </row>
    <row r="733" spans="3:3" ht="12.5" customHeight="1">
      <c r="C733" s="75"/>
    </row>
    <row r="734" spans="3:3" ht="12.5" customHeight="1">
      <c r="C734" s="75"/>
    </row>
    <row r="735" spans="3:3" ht="12.5" customHeight="1">
      <c r="C735" s="75"/>
    </row>
    <row r="736" spans="3:3" ht="12.5" customHeight="1">
      <c r="C736" s="75"/>
    </row>
    <row r="737" spans="3:3" ht="12.5" customHeight="1">
      <c r="C737" s="75"/>
    </row>
    <row r="738" spans="3:3" ht="12.5" customHeight="1">
      <c r="C738" s="75"/>
    </row>
    <row r="739" spans="3:3" ht="12.5" customHeight="1">
      <c r="C739" s="75"/>
    </row>
    <row r="740" spans="3:3" ht="12.5" customHeight="1">
      <c r="C740" s="75"/>
    </row>
    <row r="741" spans="3:3" ht="12.5" customHeight="1">
      <c r="C741" s="75"/>
    </row>
    <row r="742" spans="3:3" ht="12.5" customHeight="1">
      <c r="C742" s="75"/>
    </row>
    <row r="743" spans="3:3" ht="12.5" customHeight="1">
      <c r="C743" s="75"/>
    </row>
    <row r="744" spans="3:3" ht="12.5" customHeight="1">
      <c r="C744" s="75"/>
    </row>
    <row r="745" spans="3:3" ht="12.5" customHeight="1">
      <c r="C745" s="75"/>
    </row>
    <row r="746" spans="3:3" ht="12.5" customHeight="1">
      <c r="C746" s="75"/>
    </row>
    <row r="747" spans="3:3" ht="12.5" customHeight="1">
      <c r="C747" s="75"/>
    </row>
    <row r="748" spans="3:3" ht="12.5" customHeight="1">
      <c r="C748" s="75"/>
    </row>
    <row r="749" spans="3:3" ht="12.5" customHeight="1">
      <c r="C749" s="75"/>
    </row>
    <row r="750" spans="3:3" ht="12.5" customHeight="1">
      <c r="C750" s="75"/>
    </row>
    <row r="751" spans="3:3" ht="12.5" customHeight="1">
      <c r="C751" s="75"/>
    </row>
    <row r="752" spans="3:3" ht="12.5" customHeight="1">
      <c r="C752" s="75"/>
    </row>
    <row r="753" spans="3:3" ht="12.5" customHeight="1">
      <c r="C753" s="75"/>
    </row>
    <row r="754" spans="3:3" ht="12.5" customHeight="1">
      <c r="C754" s="75"/>
    </row>
    <row r="755" spans="3:3" ht="12.5" customHeight="1">
      <c r="C755" s="75"/>
    </row>
    <row r="756" spans="3:3" ht="12.5" customHeight="1">
      <c r="C756" s="75"/>
    </row>
    <row r="757" spans="3:3" ht="12.5" customHeight="1">
      <c r="C757" s="75"/>
    </row>
    <row r="758" spans="3:3" ht="12.5" customHeight="1">
      <c r="C758" s="75"/>
    </row>
    <row r="759" spans="3:3" ht="12.5" customHeight="1">
      <c r="C759" s="75"/>
    </row>
    <row r="760" spans="3:3" ht="12.5" customHeight="1">
      <c r="C760" s="75"/>
    </row>
    <row r="761" spans="3:3" ht="12.5" customHeight="1">
      <c r="C761" s="75"/>
    </row>
    <row r="762" spans="3:3" ht="12.5" customHeight="1">
      <c r="C762" s="75"/>
    </row>
    <row r="763" spans="3:3" ht="12.5" customHeight="1">
      <c r="C763" s="75"/>
    </row>
    <row r="764" spans="3:3" ht="12.5" customHeight="1">
      <c r="C764" s="75"/>
    </row>
    <row r="765" spans="3:3" ht="12.5" customHeight="1">
      <c r="C765" s="75"/>
    </row>
    <row r="766" spans="3:3" ht="12.5" customHeight="1">
      <c r="C766" s="75"/>
    </row>
    <row r="767" spans="3:3" ht="12.5" customHeight="1">
      <c r="C767" s="75"/>
    </row>
    <row r="768" spans="3:3" ht="12.5" customHeight="1">
      <c r="C768" s="75"/>
    </row>
    <row r="769" spans="3:3" ht="12.5" customHeight="1">
      <c r="C769" s="75"/>
    </row>
    <row r="770" spans="3:3" ht="12.5" customHeight="1">
      <c r="C770" s="75"/>
    </row>
    <row r="771" spans="3:3" ht="12.5" customHeight="1">
      <c r="C771" s="75"/>
    </row>
    <row r="772" spans="3:3" ht="12.5" customHeight="1">
      <c r="C772" s="75"/>
    </row>
    <row r="773" spans="3:3" ht="12.5" customHeight="1">
      <c r="C773" s="75"/>
    </row>
    <row r="774" spans="3:3" ht="12.5" customHeight="1">
      <c r="C774" s="75"/>
    </row>
    <row r="775" spans="3:3" ht="12.5" customHeight="1">
      <c r="C775" s="75"/>
    </row>
    <row r="776" spans="3:3" ht="12.5" customHeight="1">
      <c r="C776" s="75"/>
    </row>
    <row r="777" spans="3:3" ht="12.5" customHeight="1">
      <c r="C777" s="75"/>
    </row>
    <row r="778" spans="3:3" ht="12.5" customHeight="1">
      <c r="C778" s="75"/>
    </row>
    <row r="779" spans="3:3" ht="12.5" customHeight="1">
      <c r="C779" s="75"/>
    </row>
    <row r="780" spans="3:3" ht="12.5" customHeight="1">
      <c r="C780" s="75"/>
    </row>
    <row r="781" spans="3:3" ht="12.5" customHeight="1">
      <c r="C781" s="75"/>
    </row>
    <row r="782" spans="3:3" ht="12.5" customHeight="1">
      <c r="C782" s="75"/>
    </row>
    <row r="783" spans="3:3" ht="12.5" customHeight="1">
      <c r="C783" s="75"/>
    </row>
    <row r="784" spans="3:3" ht="12.5" customHeight="1">
      <c r="C784" s="75"/>
    </row>
    <row r="785" spans="3:3" ht="12.5" customHeight="1">
      <c r="C785" s="75"/>
    </row>
    <row r="786" spans="3:3" ht="12.5" customHeight="1">
      <c r="C786" s="75"/>
    </row>
    <row r="787" spans="3:3" ht="12.5" customHeight="1">
      <c r="C787" s="75"/>
    </row>
    <row r="788" spans="3:3" ht="12.5" customHeight="1">
      <c r="C788" s="75"/>
    </row>
    <row r="789" spans="3:3" ht="12.5" customHeight="1">
      <c r="C789" s="75"/>
    </row>
    <row r="790" spans="3:3" ht="12.5" customHeight="1">
      <c r="C790" s="75"/>
    </row>
    <row r="791" spans="3:3" ht="12.5" customHeight="1">
      <c r="C791" s="75"/>
    </row>
    <row r="792" spans="3:3" ht="12.5" customHeight="1">
      <c r="C792" s="75"/>
    </row>
    <row r="793" spans="3:3" ht="12.5" customHeight="1">
      <c r="C793" s="75"/>
    </row>
    <row r="794" spans="3:3" ht="12.5" customHeight="1">
      <c r="C794" s="75"/>
    </row>
    <row r="795" spans="3:3" ht="12.5" customHeight="1">
      <c r="C795" s="75"/>
    </row>
    <row r="796" spans="3:3" ht="12.5" customHeight="1">
      <c r="C796" s="75"/>
    </row>
    <row r="797" spans="3:3" ht="12.5" customHeight="1">
      <c r="C797" s="75"/>
    </row>
    <row r="798" spans="3:3" ht="12.5" customHeight="1">
      <c r="C798" s="75"/>
    </row>
    <row r="799" spans="3:3" ht="12.5" customHeight="1">
      <c r="C799" s="75"/>
    </row>
    <row r="800" spans="3:3" ht="12.5" customHeight="1">
      <c r="C800" s="75"/>
    </row>
    <row r="801" spans="3:3" ht="12.5" customHeight="1">
      <c r="C801" s="75"/>
    </row>
    <row r="802" spans="3:3" ht="12.5" customHeight="1">
      <c r="C802" s="75"/>
    </row>
    <row r="803" spans="3:3" ht="12.5" customHeight="1">
      <c r="C803" s="75"/>
    </row>
    <row r="804" spans="3:3" ht="12.5" customHeight="1">
      <c r="C804" s="75"/>
    </row>
    <row r="805" spans="3:3" ht="12.5" customHeight="1">
      <c r="C805" s="75"/>
    </row>
    <row r="806" spans="3:3" ht="12.5" customHeight="1">
      <c r="C806" s="75"/>
    </row>
    <row r="807" spans="3:3" ht="12.5" customHeight="1">
      <c r="C807" s="75"/>
    </row>
    <row r="808" spans="3:3" ht="12.5" customHeight="1">
      <c r="C808" s="75"/>
    </row>
    <row r="809" spans="3:3" ht="12.5" customHeight="1">
      <c r="C809" s="75"/>
    </row>
    <row r="810" spans="3:3" ht="12.5" customHeight="1">
      <c r="C810" s="75"/>
    </row>
    <row r="811" spans="3:3" ht="12.5" customHeight="1">
      <c r="C811" s="75"/>
    </row>
    <row r="812" spans="3:3" ht="12.5" customHeight="1">
      <c r="C812" s="75"/>
    </row>
    <row r="813" spans="3:3" ht="12.5" customHeight="1">
      <c r="C813" s="75"/>
    </row>
    <row r="814" spans="3:3" ht="12.5" customHeight="1">
      <c r="C814" s="75"/>
    </row>
    <row r="815" spans="3:3" ht="12.5" customHeight="1">
      <c r="C815" s="75"/>
    </row>
    <row r="816" spans="3:3" ht="12.5" customHeight="1">
      <c r="C816" s="75"/>
    </row>
    <row r="817" spans="3:3" ht="12.5" customHeight="1">
      <c r="C817" s="75"/>
    </row>
    <row r="818" spans="3:3" ht="12.5" customHeight="1">
      <c r="C818" s="75"/>
    </row>
    <row r="819" spans="3:3" ht="12.5" customHeight="1">
      <c r="C819" s="75"/>
    </row>
    <row r="820" spans="3:3" ht="12.5" customHeight="1">
      <c r="C820" s="75"/>
    </row>
    <row r="821" spans="3:3" ht="12.5" customHeight="1">
      <c r="C821" s="75"/>
    </row>
    <row r="822" spans="3:3" ht="12.5" customHeight="1">
      <c r="C822" s="75"/>
    </row>
    <row r="823" spans="3:3" ht="12.5" customHeight="1">
      <c r="C823" s="75"/>
    </row>
    <row r="824" spans="3:3" ht="12.5" customHeight="1">
      <c r="C824" s="75"/>
    </row>
    <row r="825" spans="3:3" ht="12.5" customHeight="1">
      <c r="C825" s="75"/>
    </row>
    <row r="826" spans="3:3" ht="12.5" customHeight="1">
      <c r="C826" s="75"/>
    </row>
    <row r="827" spans="3:3" ht="12.5" customHeight="1">
      <c r="C827" s="75"/>
    </row>
    <row r="828" spans="3:3" ht="12.5" customHeight="1">
      <c r="C828" s="75"/>
    </row>
    <row r="829" spans="3:3" ht="12.5" customHeight="1">
      <c r="C829" s="75"/>
    </row>
    <row r="830" spans="3:3" ht="12.5" customHeight="1">
      <c r="C830" s="75"/>
    </row>
    <row r="831" spans="3:3" ht="12.5" customHeight="1">
      <c r="C831" s="75"/>
    </row>
    <row r="832" spans="3:3" ht="12.5" customHeight="1">
      <c r="C832" s="75"/>
    </row>
    <row r="833" spans="3:3" ht="12.5" customHeight="1">
      <c r="C833" s="75"/>
    </row>
    <row r="834" spans="3:3" ht="12.5" customHeight="1">
      <c r="C834" s="75"/>
    </row>
    <row r="835" spans="3:3" ht="12.5" customHeight="1">
      <c r="C835" s="75"/>
    </row>
    <row r="836" spans="3:3" ht="12.5" customHeight="1">
      <c r="C836" s="75"/>
    </row>
    <row r="837" spans="3:3" ht="12.5" customHeight="1">
      <c r="C837" s="75"/>
    </row>
    <row r="838" spans="3:3" ht="12.5" customHeight="1">
      <c r="C838" s="75"/>
    </row>
    <row r="839" spans="3:3" ht="12.5" customHeight="1">
      <c r="C839" s="75"/>
    </row>
    <row r="840" spans="3:3" ht="12.5" customHeight="1">
      <c r="C840" s="75"/>
    </row>
    <row r="841" spans="3:3" ht="12.5" customHeight="1">
      <c r="C841" s="75"/>
    </row>
    <row r="842" spans="3:3" ht="12.5" customHeight="1">
      <c r="C842" s="75"/>
    </row>
    <row r="843" spans="3:3" ht="12.5" customHeight="1">
      <c r="C843" s="75"/>
    </row>
    <row r="844" spans="3:3" ht="12.5" customHeight="1">
      <c r="C844" s="75"/>
    </row>
    <row r="845" spans="3:3" ht="12.5" customHeight="1">
      <c r="C845" s="75"/>
    </row>
    <row r="846" spans="3:3" ht="12.5" customHeight="1">
      <c r="C846" s="75"/>
    </row>
    <row r="847" spans="3:3" ht="12.5" customHeight="1">
      <c r="C847" s="75"/>
    </row>
    <row r="848" spans="3:3" ht="12.5" customHeight="1">
      <c r="C848" s="75"/>
    </row>
    <row r="849" spans="3:3" ht="12.5" customHeight="1">
      <c r="C849" s="75"/>
    </row>
    <row r="850" spans="3:3" ht="12.5" customHeight="1">
      <c r="C850" s="75"/>
    </row>
    <row r="851" spans="3:3" ht="12.5" customHeight="1">
      <c r="C851" s="75"/>
    </row>
    <row r="852" spans="3:3" ht="12.5" customHeight="1">
      <c r="C852" s="75"/>
    </row>
    <row r="853" spans="3:3" ht="12.5" customHeight="1">
      <c r="C853" s="75"/>
    </row>
    <row r="854" spans="3:3" ht="12.5" customHeight="1">
      <c r="C854" s="75"/>
    </row>
    <row r="855" spans="3:3" ht="12.5" customHeight="1">
      <c r="C855" s="75"/>
    </row>
    <row r="856" spans="3:3" ht="12.5" customHeight="1">
      <c r="C856" s="75"/>
    </row>
    <row r="857" spans="3:3" ht="12.5" customHeight="1">
      <c r="C857" s="75"/>
    </row>
    <row r="858" spans="3:3" ht="12.5" customHeight="1">
      <c r="C858" s="75"/>
    </row>
    <row r="859" spans="3:3" ht="12.5" customHeight="1">
      <c r="C859" s="75"/>
    </row>
    <row r="860" spans="3:3" ht="12.5" customHeight="1">
      <c r="C860" s="75"/>
    </row>
    <row r="861" spans="3:3" ht="12.5" customHeight="1">
      <c r="C861" s="75"/>
    </row>
    <row r="862" spans="3:3" ht="12.5" customHeight="1">
      <c r="C862" s="75"/>
    </row>
    <row r="863" spans="3:3" ht="12.5" customHeight="1">
      <c r="C863" s="75"/>
    </row>
    <row r="864" spans="3:3" ht="12.5" customHeight="1">
      <c r="C864" s="75"/>
    </row>
    <row r="865" spans="3:3" ht="12.5" customHeight="1">
      <c r="C865" s="75"/>
    </row>
    <row r="866" spans="3:3" ht="12.5" customHeight="1">
      <c r="C866" s="75"/>
    </row>
    <row r="867" spans="3:3" ht="12.5" customHeight="1">
      <c r="C867" s="75"/>
    </row>
    <row r="868" spans="3:3" ht="12.5" customHeight="1">
      <c r="C868" s="75"/>
    </row>
    <row r="869" spans="3:3" ht="12.5" customHeight="1">
      <c r="C869" s="75"/>
    </row>
    <row r="870" spans="3:3" ht="12.5" customHeight="1">
      <c r="C870" s="75"/>
    </row>
    <row r="871" spans="3:3" ht="12.5" customHeight="1">
      <c r="C871" s="75"/>
    </row>
    <row r="872" spans="3:3" ht="12.5" customHeight="1">
      <c r="C872" s="75"/>
    </row>
    <row r="873" spans="3:3" ht="12.5" customHeight="1">
      <c r="C873" s="75"/>
    </row>
    <row r="874" spans="3:3" ht="12.5" customHeight="1">
      <c r="C874" s="75"/>
    </row>
    <row r="875" spans="3:3" ht="12.5" customHeight="1">
      <c r="C875" s="75"/>
    </row>
    <row r="876" spans="3:3" ht="12.5" customHeight="1">
      <c r="C876" s="75"/>
    </row>
    <row r="877" spans="3:3" ht="12.5" customHeight="1">
      <c r="C877" s="75"/>
    </row>
    <row r="878" spans="3:3" ht="12.5" customHeight="1">
      <c r="C878" s="75"/>
    </row>
    <row r="879" spans="3:3" ht="12.5" customHeight="1">
      <c r="C879" s="75"/>
    </row>
    <row r="880" spans="3:3" ht="12.5" customHeight="1">
      <c r="C880" s="75"/>
    </row>
    <row r="881" spans="3:3" ht="12.5" customHeight="1">
      <c r="C881" s="75"/>
    </row>
    <row r="882" spans="3:3" ht="12.5" customHeight="1">
      <c r="C882" s="75"/>
    </row>
    <row r="883" spans="3:3" ht="12.5" customHeight="1">
      <c r="C883" s="75"/>
    </row>
    <row r="884" spans="3:3" ht="12.5" customHeight="1">
      <c r="C884" s="75"/>
    </row>
    <row r="885" spans="3:3" ht="12.5" customHeight="1">
      <c r="C885" s="75"/>
    </row>
    <row r="886" spans="3:3" ht="12.5" customHeight="1">
      <c r="C886" s="75"/>
    </row>
    <row r="887" spans="3:3" ht="12.5" customHeight="1">
      <c r="C887" s="75"/>
    </row>
    <row r="888" spans="3:3" ht="12.5" customHeight="1">
      <c r="C888" s="75"/>
    </row>
    <row r="889" spans="3:3" ht="12.5" customHeight="1">
      <c r="C889" s="75"/>
    </row>
    <row r="890" spans="3:3" ht="12.5" customHeight="1">
      <c r="C890" s="75"/>
    </row>
    <row r="891" spans="3:3" ht="12.5" customHeight="1">
      <c r="C891" s="75"/>
    </row>
    <row r="892" spans="3:3" ht="12.5" customHeight="1">
      <c r="C892" s="75"/>
    </row>
    <row r="893" spans="3:3" ht="12.5" customHeight="1">
      <c r="C893" s="75"/>
    </row>
    <row r="894" spans="3:3" ht="12.5" customHeight="1">
      <c r="C894" s="75"/>
    </row>
    <row r="895" spans="3:3" ht="12.5" customHeight="1">
      <c r="C895" s="75"/>
    </row>
    <row r="896" spans="3:3" ht="12.5" customHeight="1">
      <c r="C896" s="75"/>
    </row>
    <row r="897" spans="3:3" ht="12.5" customHeight="1">
      <c r="C897" s="75"/>
    </row>
    <row r="898" spans="3:3" ht="12.5" customHeight="1">
      <c r="C898" s="75"/>
    </row>
    <row r="899" spans="3:3" ht="12.5" customHeight="1">
      <c r="C899" s="75"/>
    </row>
    <row r="900" spans="3:3" ht="12.5" customHeight="1">
      <c r="C900" s="75"/>
    </row>
    <row r="901" spans="3:3" ht="12.5" customHeight="1">
      <c r="C901" s="75"/>
    </row>
    <row r="902" spans="3:3" ht="12.5" customHeight="1">
      <c r="C902" s="75"/>
    </row>
    <row r="903" spans="3:3" ht="12.5" customHeight="1">
      <c r="C903" s="75"/>
    </row>
    <row r="904" spans="3:3" ht="12.5" customHeight="1">
      <c r="C904" s="75"/>
    </row>
    <row r="905" spans="3:3" ht="12.5" customHeight="1">
      <c r="C905" s="75"/>
    </row>
    <row r="906" spans="3:3" ht="12.5" customHeight="1">
      <c r="C906" s="75"/>
    </row>
    <row r="907" spans="3:3" ht="12.5" customHeight="1">
      <c r="C907" s="75"/>
    </row>
    <row r="908" spans="3:3" ht="12.5" customHeight="1">
      <c r="C908" s="75"/>
    </row>
    <row r="909" spans="3:3" ht="12.5" customHeight="1">
      <c r="C909" s="75"/>
    </row>
    <row r="910" spans="3:3" ht="12.5" customHeight="1">
      <c r="C910" s="75"/>
    </row>
    <row r="911" spans="3:3" ht="12.5" customHeight="1">
      <c r="C911" s="75"/>
    </row>
    <row r="912" spans="3:3" ht="12.5" customHeight="1">
      <c r="C912" s="75"/>
    </row>
    <row r="913" spans="3:3" ht="12.5" customHeight="1">
      <c r="C913" s="75"/>
    </row>
    <row r="914" spans="3:3" ht="12.5" customHeight="1">
      <c r="C914" s="75"/>
    </row>
    <row r="915" spans="3:3" ht="12.5" customHeight="1">
      <c r="C915" s="75"/>
    </row>
    <row r="916" spans="3:3" ht="12.5" customHeight="1">
      <c r="C916" s="75"/>
    </row>
    <row r="917" spans="3:3" ht="12.5" customHeight="1">
      <c r="C917" s="75"/>
    </row>
    <row r="918" spans="3:3" ht="12.5" customHeight="1">
      <c r="C918" s="75"/>
    </row>
    <row r="919" spans="3:3" ht="12.5" customHeight="1">
      <c r="C919" s="75"/>
    </row>
    <row r="920" spans="3:3" ht="12.5" customHeight="1">
      <c r="C920" s="75"/>
    </row>
    <row r="921" spans="3:3" ht="12.5" customHeight="1">
      <c r="C921" s="75"/>
    </row>
    <row r="922" spans="3:3" ht="12.5" customHeight="1">
      <c r="C922" s="75"/>
    </row>
    <row r="923" spans="3:3" ht="12.5" customHeight="1">
      <c r="C923" s="75"/>
    </row>
    <row r="924" spans="3:3" ht="12.5" customHeight="1">
      <c r="C924" s="75"/>
    </row>
    <row r="925" spans="3:3" ht="12.5" customHeight="1">
      <c r="C925" s="75"/>
    </row>
    <row r="926" spans="3:3" ht="12.5" customHeight="1">
      <c r="C926" s="75"/>
    </row>
    <row r="927" spans="3:3" ht="12.5" customHeight="1">
      <c r="C927" s="75"/>
    </row>
    <row r="928" spans="3:3" ht="12.5" customHeight="1">
      <c r="C928" s="75"/>
    </row>
    <row r="929" spans="3:3" ht="12.5" customHeight="1">
      <c r="C929" s="75"/>
    </row>
    <row r="930" spans="3:3" ht="12.5" customHeight="1">
      <c r="C930" s="75"/>
    </row>
    <row r="931" spans="3:3" ht="12.5" customHeight="1">
      <c r="C931" s="75"/>
    </row>
    <row r="932" spans="3:3" ht="12.5" customHeight="1">
      <c r="C932" s="75"/>
    </row>
    <row r="933" spans="3:3" ht="12.5" customHeight="1">
      <c r="C933" s="75"/>
    </row>
    <row r="934" spans="3:3" ht="12.5" customHeight="1">
      <c r="C934" s="75"/>
    </row>
    <row r="935" spans="3:3" ht="12.5" customHeight="1">
      <c r="C935" s="75"/>
    </row>
    <row r="936" spans="3:3" ht="12.5" customHeight="1">
      <c r="C936" s="75"/>
    </row>
    <row r="937" spans="3:3" ht="12.5" customHeight="1">
      <c r="C937" s="75"/>
    </row>
    <row r="938" spans="3:3" ht="12.5" customHeight="1">
      <c r="C938" s="75"/>
    </row>
    <row r="939" spans="3:3" ht="12.5" customHeight="1">
      <c r="C939" s="75"/>
    </row>
    <row r="940" spans="3:3" ht="12.5" customHeight="1">
      <c r="C940" s="75"/>
    </row>
    <row r="941" spans="3:3" ht="12.5" customHeight="1">
      <c r="C941" s="75"/>
    </row>
    <row r="942" spans="3:3" ht="12.5" customHeight="1">
      <c r="C942" s="75"/>
    </row>
    <row r="943" spans="3:3" ht="12.5" customHeight="1">
      <c r="C943" s="75"/>
    </row>
    <row r="944" spans="3:3" ht="12.5" customHeight="1">
      <c r="C944" s="75"/>
    </row>
    <row r="945" spans="3:3" ht="12.5" customHeight="1">
      <c r="C945" s="75"/>
    </row>
    <row r="946" spans="3:3" ht="12.5" customHeight="1">
      <c r="C946" s="75"/>
    </row>
    <row r="947" spans="3:3" ht="12.5" customHeight="1">
      <c r="C947" s="75"/>
    </row>
    <row r="948" spans="3:3" ht="12.5" customHeight="1">
      <c r="C948" s="75"/>
    </row>
    <row r="949" spans="3:3" ht="12.5" customHeight="1">
      <c r="C949" s="75"/>
    </row>
    <row r="950" spans="3:3" ht="12.5" customHeight="1">
      <c r="C950" s="75"/>
    </row>
    <row r="951" spans="3:3" ht="12.5" customHeight="1">
      <c r="C951" s="75"/>
    </row>
    <row r="952" spans="3:3" ht="12.5" customHeight="1">
      <c r="C952" s="75"/>
    </row>
    <row r="953" spans="3:3" ht="12.5" customHeight="1">
      <c r="C953" s="75"/>
    </row>
    <row r="954" spans="3:3" ht="12.5" customHeight="1">
      <c r="C954" s="75"/>
    </row>
    <row r="955" spans="3:3" ht="12.5" customHeight="1">
      <c r="C955" s="75"/>
    </row>
    <row r="956" spans="3:3" ht="12.5" customHeight="1">
      <c r="C956" s="75"/>
    </row>
    <row r="957" spans="3:3" ht="12.5" customHeight="1">
      <c r="C957" s="75"/>
    </row>
    <row r="958" spans="3:3" ht="12.5" customHeight="1">
      <c r="C958" s="75"/>
    </row>
    <row r="959" spans="3:3" ht="12.5" customHeight="1">
      <c r="C959" s="75"/>
    </row>
    <row r="960" spans="3:3" ht="12.5" customHeight="1">
      <c r="C960" s="75"/>
    </row>
    <row r="961" spans="3:3" ht="12.5" customHeight="1">
      <c r="C961" s="75"/>
    </row>
    <row r="962" spans="3:3" ht="12.5" customHeight="1">
      <c r="C962" s="75"/>
    </row>
    <row r="963" spans="3:3" ht="12.5" customHeight="1">
      <c r="C963" s="75"/>
    </row>
    <row r="964" spans="3:3" ht="12.5" customHeight="1">
      <c r="C964" s="75"/>
    </row>
    <row r="965" spans="3:3" ht="12.5" customHeight="1">
      <c r="C965" s="75"/>
    </row>
    <row r="966" spans="3:3" ht="12.5" customHeight="1">
      <c r="C966" s="75"/>
    </row>
    <row r="967" spans="3:3" ht="12.5" customHeight="1">
      <c r="C967" s="75"/>
    </row>
    <row r="968" spans="3:3" ht="12.5" customHeight="1">
      <c r="C968" s="75"/>
    </row>
    <row r="969" spans="3:3" ht="12.5" customHeight="1">
      <c r="C969" s="75"/>
    </row>
    <row r="970" spans="3:3" ht="12.5" customHeight="1">
      <c r="C970" s="75"/>
    </row>
    <row r="971" spans="3:3" ht="12.5" customHeight="1">
      <c r="C971" s="75"/>
    </row>
    <row r="972" spans="3:3" ht="12.5" customHeight="1">
      <c r="C972" s="75"/>
    </row>
    <row r="973" spans="3:3" ht="12.5" customHeight="1">
      <c r="C973" s="75"/>
    </row>
    <row r="974" spans="3:3" ht="12.5" customHeight="1">
      <c r="C974" s="75"/>
    </row>
    <row r="975" spans="3:3" ht="12.5" customHeight="1">
      <c r="C975" s="75"/>
    </row>
    <row r="976" spans="3:3" ht="12.5" customHeight="1">
      <c r="C976" s="75"/>
    </row>
    <row r="977" spans="3:3" ht="12.5" customHeight="1">
      <c r="C977" s="75"/>
    </row>
    <row r="978" spans="3:3" ht="12.5" customHeight="1">
      <c r="C978" s="75"/>
    </row>
    <row r="979" spans="3:3" ht="12.5" customHeight="1">
      <c r="C979" s="75"/>
    </row>
    <row r="980" spans="3:3" ht="12.5" customHeight="1">
      <c r="C980" s="75"/>
    </row>
    <row r="981" spans="3:3" ht="12.5" customHeight="1">
      <c r="C981" s="75"/>
    </row>
    <row r="982" spans="3:3" ht="12.5" customHeight="1">
      <c r="C982" s="75"/>
    </row>
    <row r="983" spans="3:3" ht="12.5" customHeight="1">
      <c r="C983" s="75"/>
    </row>
    <row r="984" spans="3:3" ht="12.5" customHeight="1">
      <c r="C984" s="75"/>
    </row>
    <row r="985" spans="3:3" ht="12.5" customHeight="1">
      <c r="C985" s="75"/>
    </row>
    <row r="986" spans="3:3" ht="12.5" customHeight="1">
      <c r="C986" s="75"/>
    </row>
    <row r="987" spans="3:3" ht="12.5" customHeight="1">
      <c r="C987" s="75"/>
    </row>
    <row r="988" spans="3:3" ht="12.5" customHeight="1">
      <c r="C988" s="75"/>
    </row>
    <row r="989" spans="3:3" ht="12.5" customHeight="1">
      <c r="C989" s="75"/>
    </row>
    <row r="990" spans="3:3" ht="12.5" customHeight="1">
      <c r="C990" s="75"/>
    </row>
    <row r="991" spans="3:3" ht="12.5" customHeight="1">
      <c r="C991" s="75"/>
    </row>
    <row r="992" spans="3:3" ht="12.5" customHeight="1">
      <c r="C992" s="75"/>
    </row>
    <row r="993" spans="3:3" ht="12.5" customHeight="1">
      <c r="C993" s="75"/>
    </row>
    <row r="994" spans="3:3" ht="12.5" customHeight="1">
      <c r="C994" s="75"/>
    </row>
    <row r="995" spans="3:3" ht="12.5" customHeight="1">
      <c r="C995" s="75"/>
    </row>
    <row r="996" spans="3:3" ht="12.5" customHeight="1">
      <c r="C996" s="75"/>
    </row>
    <row r="997" spans="3:3" ht="12.5" customHeight="1">
      <c r="C997" s="75"/>
    </row>
    <row r="998" spans="3:3" ht="12.5" customHeight="1">
      <c r="C998" s="75"/>
    </row>
    <row r="999" spans="3:3" ht="12.5" customHeight="1">
      <c r="C999" s="75"/>
    </row>
    <row r="1000" spans="3:3" ht="12.5" customHeight="1">
      <c r="C1000" s="75"/>
    </row>
  </sheetData>
  <hyperlinks>
    <hyperlink ref="C2" r:id="rId1" xr:uid="{00000000-0004-0000-0300-000000000000}"/>
    <hyperlink ref="C3" r:id="rId2" xr:uid="{00000000-0004-0000-0300-000001000000}"/>
    <hyperlink ref="C4" r:id="rId3" xr:uid="{00000000-0004-0000-0300-000002000000}"/>
    <hyperlink ref="C5" r:id="rId4" xr:uid="{00000000-0004-0000-0300-000003000000}"/>
    <hyperlink ref="C6" r:id="rId5" xr:uid="{00000000-0004-0000-0300-000004000000}"/>
    <hyperlink ref="C7" r:id="rId6" xr:uid="{00000000-0004-0000-0300-000005000000}"/>
    <hyperlink ref="C8" r:id="rId7" xr:uid="{00000000-0004-0000-0300-000006000000}"/>
    <hyperlink ref="C9" r:id="rId8" xr:uid="{00000000-0004-0000-0300-000007000000}"/>
    <hyperlink ref="C10"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 ref="C26" r:id="rId25" xr:uid="{00000000-0004-0000-0300-000018000000}"/>
    <hyperlink ref="C27" r:id="rId26" xr:uid="{00000000-0004-0000-0300-000019000000}"/>
    <hyperlink ref="C28" r:id="rId27" xr:uid="{00000000-0004-0000-0300-00001A000000}"/>
    <hyperlink ref="C29" r:id="rId28" xr:uid="{00000000-0004-0000-0300-00001B000000}"/>
    <hyperlink ref="C30" r:id="rId29" xr:uid="{00000000-0004-0000-0300-00001C000000}"/>
    <hyperlink ref="C31" r:id="rId30" xr:uid="{00000000-0004-0000-0300-00001D000000}"/>
    <hyperlink ref="C32" r:id="rId31" xr:uid="{00000000-0004-0000-0300-00001E000000}"/>
    <hyperlink ref="C33" r:id="rId32" xr:uid="{00000000-0004-0000-0300-00001F000000}"/>
    <hyperlink ref="C34" r:id="rId33" xr:uid="{00000000-0004-0000-0300-000020000000}"/>
    <hyperlink ref="C35" r:id="rId34" xr:uid="{00000000-0004-0000-0300-000021000000}"/>
    <hyperlink ref="C36" r:id="rId35" xr:uid="{00000000-0004-0000-0300-000022000000}"/>
    <hyperlink ref="C37" r:id="rId36" xr:uid="{00000000-0004-0000-0300-000023000000}"/>
    <hyperlink ref="C38" r:id="rId37" xr:uid="{00000000-0004-0000-0300-000024000000}"/>
    <hyperlink ref="C39" r:id="rId38" xr:uid="{00000000-0004-0000-0300-000025000000}"/>
    <hyperlink ref="C40" r:id="rId39" xr:uid="{00000000-0004-0000-0300-000026000000}"/>
    <hyperlink ref="C41" r:id="rId40" xr:uid="{00000000-0004-0000-0300-000027000000}"/>
    <hyperlink ref="C42" r:id="rId41" xr:uid="{00000000-0004-0000-0300-000028000000}"/>
    <hyperlink ref="C43" r:id="rId42" xr:uid="{00000000-0004-0000-0300-000029000000}"/>
    <hyperlink ref="C44" r:id="rId43" xr:uid="{00000000-0004-0000-0300-00002A000000}"/>
    <hyperlink ref="C45" r:id="rId44" xr:uid="{00000000-0004-0000-0300-00002B000000}"/>
    <hyperlink ref="C47" r:id="rId45" xr:uid="{00000000-0004-0000-0300-00002C000000}"/>
    <hyperlink ref="C48" r:id="rId46" xr:uid="{00000000-0004-0000-0300-00002D000000}"/>
    <hyperlink ref="C49" r:id="rId47" xr:uid="{00000000-0004-0000-0300-00002E000000}"/>
    <hyperlink ref="C50" r:id="rId48" xr:uid="{00000000-0004-0000-0300-00002F000000}"/>
    <hyperlink ref="C52" r:id="rId49" xr:uid="{00000000-0004-0000-0300-000030000000}"/>
    <hyperlink ref="C53" r:id="rId50" xr:uid="{00000000-0004-0000-0300-000031000000}"/>
    <hyperlink ref="C54" r:id="rId51" xr:uid="{00000000-0004-0000-0300-000032000000}"/>
    <hyperlink ref="C55" r:id="rId52" xr:uid="{00000000-0004-0000-0300-000033000000}"/>
    <hyperlink ref="C56" r:id="rId53" xr:uid="{00000000-0004-0000-0300-000034000000}"/>
    <hyperlink ref="C57" r:id="rId54" xr:uid="{00000000-0004-0000-0300-000035000000}"/>
    <hyperlink ref="C58" r:id="rId55" xr:uid="{00000000-0004-0000-0300-000036000000}"/>
    <hyperlink ref="C59" r:id="rId56" xr:uid="{00000000-0004-0000-0300-000037000000}"/>
    <hyperlink ref="C60" r:id="rId57" xr:uid="{00000000-0004-0000-0300-000038000000}"/>
    <hyperlink ref="C61" r:id="rId58" xr:uid="{00000000-0004-0000-0300-000039000000}"/>
    <hyperlink ref="C62" r:id="rId59" xr:uid="{00000000-0004-0000-0300-00003A000000}"/>
    <hyperlink ref="C63" r:id="rId60" xr:uid="{00000000-0004-0000-0300-00003B000000}"/>
    <hyperlink ref="C64" r:id="rId61" xr:uid="{00000000-0004-0000-0300-00003C000000}"/>
    <hyperlink ref="C65" r:id="rId62" xr:uid="{00000000-0004-0000-0300-00003D000000}"/>
    <hyperlink ref="C66" r:id="rId63" xr:uid="{00000000-0004-0000-0300-00003E000000}"/>
    <hyperlink ref="C67" r:id="rId64" xr:uid="{00000000-0004-0000-0300-00003F000000}"/>
    <hyperlink ref="C68" r:id="rId65" xr:uid="{00000000-0004-0000-0300-000040000000}"/>
    <hyperlink ref="C69" r:id="rId66" xr:uid="{00000000-0004-0000-0300-000041000000}"/>
    <hyperlink ref="C70" r:id="rId67" xr:uid="{00000000-0004-0000-0300-000042000000}"/>
    <hyperlink ref="C71" r:id="rId68" xr:uid="{00000000-0004-0000-0300-000043000000}"/>
    <hyperlink ref="C72" r:id="rId69" xr:uid="{00000000-0004-0000-0300-000044000000}"/>
    <hyperlink ref="C73" r:id="rId70" xr:uid="{00000000-0004-0000-0300-000045000000}"/>
    <hyperlink ref="C74" r:id="rId71" xr:uid="{00000000-0004-0000-0300-000046000000}"/>
    <hyperlink ref="C75" r:id="rId72" xr:uid="{00000000-0004-0000-0300-000047000000}"/>
    <hyperlink ref="C76" r:id="rId73" xr:uid="{00000000-0004-0000-0300-000048000000}"/>
    <hyperlink ref="C77" r:id="rId74" xr:uid="{00000000-0004-0000-0300-000049000000}"/>
    <hyperlink ref="C79" r:id="rId75" xr:uid="{00000000-0004-0000-0300-00004A000000}"/>
    <hyperlink ref="C80" r:id="rId76" xr:uid="{00000000-0004-0000-0300-00004B000000}"/>
    <hyperlink ref="C81" r:id="rId77" xr:uid="{00000000-0004-0000-0300-00004C000000}"/>
    <hyperlink ref="C82" r:id="rId78" xr:uid="{00000000-0004-0000-0300-00004D000000}"/>
    <hyperlink ref="C84" r:id="rId79" xr:uid="{00000000-0004-0000-0300-00004E000000}"/>
    <hyperlink ref="C85" r:id="rId80" xr:uid="{00000000-0004-0000-0300-00004F000000}"/>
    <hyperlink ref="C86" r:id="rId81" xr:uid="{00000000-0004-0000-0300-000050000000}"/>
    <hyperlink ref="C87" r:id="rId82" xr:uid="{00000000-0004-0000-0300-000051000000}"/>
    <hyperlink ref="C88" r:id="rId83" xr:uid="{00000000-0004-0000-0300-000052000000}"/>
    <hyperlink ref="C89" r:id="rId84" xr:uid="{00000000-0004-0000-0300-000053000000}"/>
    <hyperlink ref="C90" r:id="rId85" xr:uid="{00000000-0004-0000-0300-000054000000}"/>
    <hyperlink ref="C91" r:id="rId86" xr:uid="{00000000-0004-0000-0300-000055000000}"/>
    <hyperlink ref="C92" r:id="rId87" xr:uid="{00000000-0004-0000-0300-000056000000}"/>
    <hyperlink ref="C93" r:id="rId88" xr:uid="{00000000-0004-0000-0300-000057000000}"/>
    <hyperlink ref="C94" r:id="rId89" xr:uid="{00000000-0004-0000-0300-000058000000}"/>
    <hyperlink ref="C95" r:id="rId90" xr:uid="{00000000-0004-0000-0300-000059000000}"/>
    <hyperlink ref="C96" r:id="rId91" xr:uid="{00000000-0004-0000-0300-00005A000000}"/>
    <hyperlink ref="C97" r:id="rId92" xr:uid="{00000000-0004-0000-0300-00005B000000}"/>
    <hyperlink ref="C98" r:id="rId93" xr:uid="{00000000-0004-0000-0300-00005C000000}"/>
    <hyperlink ref="C99" r:id="rId94" xr:uid="{00000000-0004-0000-0300-00005D000000}"/>
    <hyperlink ref="C100" r:id="rId95" xr:uid="{00000000-0004-0000-0300-00005E000000}"/>
    <hyperlink ref="C101" r:id="rId96" xr:uid="{00000000-0004-0000-0300-00005F000000}"/>
    <hyperlink ref="C102" r:id="rId97" xr:uid="{00000000-0004-0000-0300-000060000000}"/>
    <hyperlink ref="C103" r:id="rId98" xr:uid="{00000000-0004-0000-0300-000061000000}"/>
    <hyperlink ref="C104" r:id="rId99" xr:uid="{00000000-0004-0000-0300-000062000000}"/>
    <hyperlink ref="C105" r:id="rId100" xr:uid="{00000000-0004-0000-0300-000063000000}"/>
    <hyperlink ref="C106" r:id="rId101" xr:uid="{00000000-0004-0000-0300-000064000000}"/>
    <hyperlink ref="C107" r:id="rId102" xr:uid="{00000000-0004-0000-0300-000065000000}"/>
    <hyperlink ref="C108" r:id="rId103" xr:uid="{00000000-0004-0000-0300-000066000000}"/>
    <hyperlink ref="C109" r:id="rId104" xr:uid="{00000000-0004-0000-0300-000067000000}"/>
    <hyperlink ref="C110" r:id="rId105" xr:uid="{00000000-0004-0000-0300-000068000000}"/>
    <hyperlink ref="C111" r:id="rId106" xr:uid="{00000000-0004-0000-0300-000069000000}"/>
    <hyperlink ref="C112" r:id="rId107" xr:uid="{00000000-0004-0000-0300-00006A000000}"/>
    <hyperlink ref="C113" r:id="rId108" xr:uid="{00000000-0004-0000-0300-00006B000000}"/>
    <hyperlink ref="C114" r:id="rId109" xr:uid="{00000000-0004-0000-0300-00006C000000}"/>
  </hyperlink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42"/>
  <sheetViews>
    <sheetView workbookViewId="0"/>
  </sheetViews>
  <sheetFormatPr defaultColWidth="10.90625" defaultRowHeight="12.5"/>
  <cols>
    <col min="3" max="3" width="73.36328125" customWidth="1"/>
  </cols>
  <sheetData>
    <row r="1" spans="1:8" ht="15.75" customHeight="1">
      <c r="A1" s="3" t="s">
        <v>220</v>
      </c>
      <c r="B1" s="3" t="s">
        <v>201</v>
      </c>
      <c r="C1" s="3" t="s">
        <v>5</v>
      </c>
      <c r="D1" s="3" t="s">
        <v>2</v>
      </c>
      <c r="E1" s="3" t="s">
        <v>3</v>
      </c>
      <c r="F1" s="3" t="s">
        <v>4</v>
      </c>
      <c r="G1" s="3" t="s">
        <v>6</v>
      </c>
      <c r="H1" s="3" t="s">
        <v>221</v>
      </c>
    </row>
    <row r="2" spans="1:8" ht="15.75" customHeight="1">
      <c r="A2" s="3" t="s">
        <v>2872</v>
      </c>
      <c r="B2" s="3" t="s">
        <v>2873</v>
      </c>
      <c r="C2" s="3" t="s">
        <v>2874</v>
      </c>
      <c r="D2" s="3" t="s">
        <v>2875</v>
      </c>
      <c r="E2" s="3" t="s">
        <v>2876</v>
      </c>
      <c r="F2" s="3">
        <v>2015</v>
      </c>
      <c r="G2" s="3" t="s">
        <v>2877</v>
      </c>
      <c r="H2" s="3" t="str">
        <f t="shared" ref="H2:H42" si="0">IF(F2="","",
  IF(F2&lt;=PERCENTILE(IF($B:$B=B2,$F:$F),0.33),"Early",
    IF(F2&lt;=PERCENTILE(IF($B:$B=B2,$F:$F),0.67),"Middle","Recent")))</f>
        <v>Recent</v>
      </c>
    </row>
    <row r="3" spans="1:8" ht="15.75" customHeight="1">
      <c r="A3" s="3" t="s">
        <v>2878</v>
      </c>
      <c r="B3" s="3" t="s">
        <v>2873</v>
      </c>
      <c r="C3" s="3" t="s">
        <v>2879</v>
      </c>
      <c r="D3" s="3" t="s">
        <v>2880</v>
      </c>
      <c r="E3" s="3" t="s">
        <v>2881</v>
      </c>
      <c r="F3" s="3">
        <v>1997</v>
      </c>
      <c r="G3" s="3" t="s">
        <v>2882</v>
      </c>
      <c r="H3" s="3" t="str">
        <f t="shared" si="0"/>
        <v>Middle</v>
      </c>
    </row>
    <row r="4" spans="1:8" ht="15.75" customHeight="1">
      <c r="A4" s="3" t="s">
        <v>2883</v>
      </c>
      <c r="B4" s="3" t="s">
        <v>2873</v>
      </c>
      <c r="C4" s="3" t="s">
        <v>2884</v>
      </c>
      <c r="D4" s="3" t="s">
        <v>2885</v>
      </c>
      <c r="E4" s="3" t="s">
        <v>2886</v>
      </c>
      <c r="F4" s="3">
        <v>2020</v>
      </c>
      <c r="G4" s="3" t="s">
        <v>2887</v>
      </c>
      <c r="H4" s="3" t="str">
        <f t="shared" si="0"/>
        <v>Recent</v>
      </c>
    </row>
    <row r="5" spans="1:8" ht="15.75" customHeight="1">
      <c r="A5" s="3" t="s">
        <v>2888</v>
      </c>
      <c r="B5" s="3" t="s">
        <v>2873</v>
      </c>
      <c r="C5" s="3" t="s">
        <v>2889</v>
      </c>
      <c r="D5" s="3" t="s">
        <v>2890</v>
      </c>
      <c r="E5" s="3" t="s">
        <v>2891</v>
      </c>
      <c r="F5" s="3">
        <v>1997</v>
      </c>
      <c r="G5" s="3" t="s">
        <v>2892</v>
      </c>
      <c r="H5" s="3" t="str">
        <f t="shared" si="0"/>
        <v>Middle</v>
      </c>
    </row>
    <row r="6" spans="1:8" ht="15.75" customHeight="1">
      <c r="A6" s="3" t="s">
        <v>2893</v>
      </c>
      <c r="B6" s="3" t="s">
        <v>2873</v>
      </c>
      <c r="C6" s="3" t="s">
        <v>2894</v>
      </c>
      <c r="D6" s="3" t="s">
        <v>2895</v>
      </c>
      <c r="E6" s="3" t="s">
        <v>2896</v>
      </c>
      <c r="F6" s="3">
        <v>1989</v>
      </c>
      <c r="G6" s="3" t="s">
        <v>1131</v>
      </c>
      <c r="H6" s="3" t="str">
        <f t="shared" si="0"/>
        <v>Early</v>
      </c>
    </row>
    <row r="7" spans="1:8" ht="15.75" customHeight="1">
      <c r="A7" s="3" t="s">
        <v>2897</v>
      </c>
      <c r="B7" s="3" t="s">
        <v>2873</v>
      </c>
      <c r="C7" s="3" t="s">
        <v>2898</v>
      </c>
      <c r="D7" s="3" t="s">
        <v>2899</v>
      </c>
      <c r="E7" s="3" t="s">
        <v>2900</v>
      </c>
      <c r="F7" s="3">
        <v>1999</v>
      </c>
      <c r="G7" s="3" t="s">
        <v>2901</v>
      </c>
      <c r="H7" s="3" t="str">
        <f t="shared" si="0"/>
        <v>Middle</v>
      </c>
    </row>
    <row r="8" spans="1:8" ht="15.75" customHeight="1">
      <c r="A8" s="3" t="s">
        <v>2902</v>
      </c>
      <c r="B8" s="3" t="s">
        <v>2873</v>
      </c>
      <c r="C8" s="3" t="s">
        <v>2903</v>
      </c>
      <c r="D8" s="3" t="s">
        <v>2904</v>
      </c>
      <c r="E8" s="3" t="s">
        <v>2905</v>
      </c>
      <c r="F8" s="3">
        <v>1997</v>
      </c>
      <c r="G8" s="3" t="s">
        <v>2892</v>
      </c>
      <c r="H8" s="3" t="str">
        <f t="shared" si="0"/>
        <v>Middle</v>
      </c>
    </row>
    <row r="9" spans="1:8" ht="15.75" customHeight="1">
      <c r="A9" s="3" t="s">
        <v>2906</v>
      </c>
      <c r="B9" s="3" t="s">
        <v>2873</v>
      </c>
      <c r="C9" s="3" t="s">
        <v>2907</v>
      </c>
      <c r="D9" s="3" t="s">
        <v>2908</v>
      </c>
      <c r="E9" s="3" t="s">
        <v>2909</v>
      </c>
      <c r="F9" s="3">
        <v>1993</v>
      </c>
      <c r="G9" s="3" t="s">
        <v>2910</v>
      </c>
      <c r="H9" s="3" t="str">
        <f t="shared" si="0"/>
        <v>Early</v>
      </c>
    </row>
    <row r="10" spans="1:8" ht="15.75" customHeight="1">
      <c r="A10" s="3" t="s">
        <v>2911</v>
      </c>
      <c r="B10" s="3" t="s">
        <v>2873</v>
      </c>
      <c r="C10" s="3" t="s">
        <v>2912</v>
      </c>
      <c r="D10" s="3" t="s">
        <v>2913</v>
      </c>
      <c r="E10" s="3" t="s">
        <v>2914</v>
      </c>
      <c r="F10" s="3">
        <v>1995</v>
      </c>
      <c r="G10" s="3" t="s">
        <v>2915</v>
      </c>
      <c r="H10" s="3" t="str">
        <f t="shared" si="0"/>
        <v>Early</v>
      </c>
    </row>
    <row r="11" spans="1:8" ht="15.75" customHeight="1">
      <c r="A11" s="3" t="s">
        <v>2916</v>
      </c>
      <c r="B11" s="3" t="s">
        <v>2873</v>
      </c>
      <c r="C11" s="3" t="s">
        <v>2917</v>
      </c>
      <c r="D11" s="3" t="s">
        <v>2918</v>
      </c>
      <c r="E11" s="3" t="s">
        <v>2919</v>
      </c>
      <c r="F11" s="3">
        <v>1994</v>
      </c>
      <c r="G11" s="3" t="s">
        <v>2920</v>
      </c>
      <c r="H11" s="3" t="str">
        <f t="shared" si="0"/>
        <v>Early</v>
      </c>
    </row>
    <row r="12" spans="1:8" ht="15.75" customHeight="1">
      <c r="A12" s="3" t="s">
        <v>2921</v>
      </c>
      <c r="B12" s="3" t="s">
        <v>2873</v>
      </c>
      <c r="C12" s="3" t="s">
        <v>2922</v>
      </c>
      <c r="D12" s="3" t="s">
        <v>2923</v>
      </c>
      <c r="E12" s="3" t="s">
        <v>2924</v>
      </c>
      <c r="F12" s="3">
        <v>2002</v>
      </c>
      <c r="G12" s="3" t="s">
        <v>2925</v>
      </c>
      <c r="H12" s="3" t="str">
        <f t="shared" si="0"/>
        <v>Recent</v>
      </c>
    </row>
    <row r="13" spans="1:8" ht="15.75" customHeight="1">
      <c r="A13" s="3" t="s">
        <v>2926</v>
      </c>
      <c r="B13" s="3" t="s">
        <v>2873</v>
      </c>
      <c r="C13" s="3" t="s">
        <v>2927</v>
      </c>
      <c r="D13" s="3" t="s">
        <v>2928</v>
      </c>
      <c r="E13" s="3" t="s">
        <v>2929</v>
      </c>
      <c r="F13" s="3">
        <v>1998</v>
      </c>
      <c r="G13" s="3" t="s">
        <v>2892</v>
      </c>
      <c r="H13" s="3" t="str">
        <f t="shared" si="0"/>
        <v>Middle</v>
      </c>
    </row>
    <row r="14" spans="1:8" ht="15.75" customHeight="1">
      <c r="A14" s="3" t="s">
        <v>2930</v>
      </c>
      <c r="B14" s="3" t="s">
        <v>2873</v>
      </c>
      <c r="C14" s="3" t="s">
        <v>2931</v>
      </c>
      <c r="D14" s="3" t="s">
        <v>2932</v>
      </c>
      <c r="E14" s="3" t="s">
        <v>2933</v>
      </c>
      <c r="F14" s="3">
        <v>1997</v>
      </c>
      <c r="G14" s="3" t="s">
        <v>668</v>
      </c>
      <c r="H14" s="3" t="str">
        <f t="shared" si="0"/>
        <v>Middle</v>
      </c>
    </row>
    <row r="15" spans="1:8" ht="15.75" customHeight="1">
      <c r="A15" s="3" t="s">
        <v>2934</v>
      </c>
      <c r="B15" s="3" t="s">
        <v>2873</v>
      </c>
      <c r="C15" s="3" t="s">
        <v>2935</v>
      </c>
      <c r="D15" s="3" t="s">
        <v>2936</v>
      </c>
      <c r="E15" s="3" t="s">
        <v>2937</v>
      </c>
      <c r="F15" s="3">
        <v>1997</v>
      </c>
      <c r="G15" s="3" t="s">
        <v>2938</v>
      </c>
      <c r="H15" s="3" t="str">
        <f t="shared" si="0"/>
        <v>Middle</v>
      </c>
    </row>
    <row r="16" spans="1:8" ht="15.75" customHeight="1">
      <c r="A16" s="3" t="s">
        <v>2939</v>
      </c>
      <c r="B16" s="3" t="s">
        <v>2873</v>
      </c>
      <c r="C16" s="3" t="s">
        <v>2940</v>
      </c>
      <c r="D16" s="3" t="s">
        <v>2941</v>
      </c>
      <c r="E16" s="3" t="s">
        <v>2942</v>
      </c>
      <c r="F16" s="3">
        <v>1997</v>
      </c>
      <c r="G16" s="3" t="s">
        <v>2943</v>
      </c>
      <c r="H16" s="3" t="str">
        <f t="shared" si="0"/>
        <v>Middle</v>
      </c>
    </row>
    <row r="17" spans="1:8" ht="15.75" customHeight="1">
      <c r="A17" s="3" t="s">
        <v>2944</v>
      </c>
      <c r="B17" s="3" t="s">
        <v>2873</v>
      </c>
      <c r="C17" s="3" t="s">
        <v>2945</v>
      </c>
      <c r="D17" s="3" t="s">
        <v>2946</v>
      </c>
      <c r="E17" s="3" t="s">
        <v>2947</v>
      </c>
      <c r="F17" s="3">
        <v>2016</v>
      </c>
      <c r="G17" s="3" t="s">
        <v>2948</v>
      </c>
      <c r="H17" s="3" t="str">
        <f t="shared" si="0"/>
        <v>Recent</v>
      </c>
    </row>
    <row r="18" spans="1:8" ht="15.75" customHeight="1">
      <c r="A18" s="3" t="s">
        <v>2949</v>
      </c>
      <c r="B18" s="3" t="s">
        <v>2873</v>
      </c>
      <c r="D18" s="3" t="s">
        <v>2950</v>
      </c>
      <c r="E18" s="3" t="s">
        <v>2951</v>
      </c>
      <c r="F18" s="3">
        <v>1998</v>
      </c>
      <c r="G18" s="3" t="s">
        <v>2925</v>
      </c>
      <c r="H18" s="3" t="str">
        <f t="shared" si="0"/>
        <v>Middle</v>
      </c>
    </row>
    <row r="19" spans="1:8" ht="15.75" customHeight="1">
      <c r="A19" s="3" t="s">
        <v>2952</v>
      </c>
      <c r="B19" s="3" t="s">
        <v>2873</v>
      </c>
      <c r="C19" s="3" t="s">
        <v>2953</v>
      </c>
      <c r="D19" s="3" t="s">
        <v>2954</v>
      </c>
      <c r="E19" s="3" t="s">
        <v>2955</v>
      </c>
      <c r="F19" s="3">
        <v>1995</v>
      </c>
      <c r="G19" s="3" t="s">
        <v>2956</v>
      </c>
      <c r="H19" s="3" t="str">
        <f t="shared" si="0"/>
        <v>Early</v>
      </c>
    </row>
    <row r="20" spans="1:8" ht="12.5" customHeight="1">
      <c r="A20" s="3" t="s">
        <v>2957</v>
      </c>
      <c r="B20" s="3" t="s">
        <v>2873</v>
      </c>
      <c r="C20" s="3" t="s">
        <v>2958</v>
      </c>
      <c r="D20" s="3" t="s">
        <v>2959</v>
      </c>
      <c r="E20" s="3" t="s">
        <v>2960</v>
      </c>
      <c r="F20" s="3">
        <v>2010</v>
      </c>
      <c r="G20" s="3" t="s">
        <v>2961</v>
      </c>
      <c r="H20" s="3" t="str">
        <f t="shared" si="0"/>
        <v>Recent</v>
      </c>
    </row>
    <row r="21" spans="1:8" ht="12.5" customHeight="1">
      <c r="A21" s="3" t="s">
        <v>2962</v>
      </c>
      <c r="B21" s="3" t="s">
        <v>2873</v>
      </c>
      <c r="C21" s="3" t="s">
        <v>2963</v>
      </c>
      <c r="D21" s="3" t="s">
        <v>2964</v>
      </c>
      <c r="E21" s="3" t="s">
        <v>2965</v>
      </c>
      <c r="F21" s="3">
        <v>1996</v>
      </c>
      <c r="G21" s="3" t="s">
        <v>2966</v>
      </c>
      <c r="H21" s="3" t="str">
        <f t="shared" si="0"/>
        <v>Middle</v>
      </c>
    </row>
    <row r="22" spans="1:8" ht="12.5" customHeight="1">
      <c r="A22" s="3" t="s">
        <v>2967</v>
      </c>
      <c r="B22" s="3" t="s">
        <v>2873</v>
      </c>
      <c r="D22" s="3" t="s">
        <v>2968</v>
      </c>
      <c r="E22" s="3" t="s">
        <v>2969</v>
      </c>
      <c r="F22" s="3">
        <v>1995</v>
      </c>
      <c r="G22" s="3" t="s">
        <v>2970</v>
      </c>
      <c r="H22" s="3" t="str">
        <f t="shared" si="0"/>
        <v>Early</v>
      </c>
    </row>
    <row r="23" spans="1:8" ht="12.5" customHeight="1">
      <c r="A23" s="3" t="s">
        <v>2971</v>
      </c>
      <c r="B23" s="3" t="s">
        <v>2873</v>
      </c>
      <c r="C23" s="3" t="s">
        <v>2972</v>
      </c>
      <c r="D23" s="3" t="s">
        <v>2973</v>
      </c>
      <c r="E23" s="3" t="s">
        <v>2974</v>
      </c>
      <c r="F23" s="3">
        <v>1999</v>
      </c>
      <c r="G23" s="3" t="s">
        <v>1131</v>
      </c>
      <c r="H23" s="3" t="str">
        <f t="shared" si="0"/>
        <v>Middle</v>
      </c>
    </row>
    <row r="24" spans="1:8" ht="12.5" customHeight="1">
      <c r="A24" s="3" t="s">
        <v>2975</v>
      </c>
      <c r="B24" s="3" t="s">
        <v>2873</v>
      </c>
      <c r="D24" s="3" t="s">
        <v>2976</v>
      </c>
      <c r="E24" s="3" t="s">
        <v>2977</v>
      </c>
      <c r="F24" s="3">
        <v>1995</v>
      </c>
      <c r="G24" s="3" t="s">
        <v>2925</v>
      </c>
      <c r="H24" s="3" t="str">
        <f t="shared" si="0"/>
        <v>Early</v>
      </c>
    </row>
    <row r="25" spans="1:8" ht="12.5" customHeight="1">
      <c r="A25" s="3" t="s">
        <v>2978</v>
      </c>
      <c r="B25" s="3" t="s">
        <v>2873</v>
      </c>
      <c r="C25" s="3" t="s">
        <v>2979</v>
      </c>
      <c r="D25" s="3" t="s">
        <v>2980</v>
      </c>
      <c r="E25" s="3" t="s">
        <v>1424</v>
      </c>
      <c r="F25" s="3">
        <v>1994</v>
      </c>
      <c r="G25" s="3" t="s">
        <v>2892</v>
      </c>
      <c r="H25" s="3" t="str">
        <f t="shared" si="0"/>
        <v>Early</v>
      </c>
    </row>
    <row r="26" spans="1:8" ht="12.5" customHeight="1">
      <c r="A26" s="3" t="s">
        <v>2981</v>
      </c>
      <c r="B26" s="3" t="s">
        <v>2873</v>
      </c>
      <c r="C26" s="3" t="s">
        <v>2982</v>
      </c>
      <c r="D26" s="3" t="s">
        <v>2983</v>
      </c>
      <c r="E26" s="3" t="s">
        <v>2984</v>
      </c>
      <c r="F26" s="3">
        <v>1992</v>
      </c>
      <c r="G26" s="3" t="s">
        <v>1131</v>
      </c>
      <c r="H26" s="3" t="str">
        <f t="shared" si="0"/>
        <v>Early</v>
      </c>
    </row>
    <row r="27" spans="1:8" ht="12.5" customHeight="1">
      <c r="A27" s="3" t="s">
        <v>2985</v>
      </c>
      <c r="B27" s="3" t="s">
        <v>2873</v>
      </c>
      <c r="C27" s="3" t="s">
        <v>2986</v>
      </c>
      <c r="D27" s="3" t="s">
        <v>2987</v>
      </c>
      <c r="E27" s="3" t="s">
        <v>2988</v>
      </c>
      <c r="F27" s="3">
        <v>2005</v>
      </c>
      <c r="G27" s="3" t="s">
        <v>2970</v>
      </c>
      <c r="H27" s="3" t="str">
        <f t="shared" si="0"/>
        <v>Recent</v>
      </c>
    </row>
    <row r="28" spans="1:8" ht="12.5" customHeight="1">
      <c r="A28" s="3" t="s">
        <v>2989</v>
      </c>
      <c r="B28" s="3" t="s">
        <v>2873</v>
      </c>
      <c r="D28" s="3" t="s">
        <v>2990</v>
      </c>
      <c r="E28" s="3" t="s">
        <v>2991</v>
      </c>
      <c r="F28" s="3">
        <v>1993</v>
      </c>
      <c r="G28" s="3" t="s">
        <v>2970</v>
      </c>
      <c r="H28" s="3" t="str">
        <f t="shared" si="0"/>
        <v>Early</v>
      </c>
    </row>
    <row r="29" spans="1:8" ht="12.5" customHeight="1">
      <c r="A29" s="3" t="s">
        <v>2992</v>
      </c>
      <c r="B29" s="3" t="s">
        <v>2873</v>
      </c>
      <c r="C29" s="3" t="s">
        <v>2993</v>
      </c>
      <c r="D29" s="3" t="s">
        <v>2994</v>
      </c>
      <c r="E29" s="3" t="s">
        <v>2995</v>
      </c>
      <c r="F29" s="3">
        <v>2010</v>
      </c>
      <c r="G29" s="3" t="s">
        <v>2956</v>
      </c>
      <c r="H29" s="3" t="str">
        <f t="shared" si="0"/>
        <v>Recent</v>
      </c>
    </row>
    <row r="30" spans="1:8" ht="12.5" customHeight="1">
      <c r="A30" s="3" t="s">
        <v>2996</v>
      </c>
      <c r="B30" s="3" t="s">
        <v>2873</v>
      </c>
      <c r="C30" s="3" t="s">
        <v>2997</v>
      </c>
      <c r="D30" s="3" t="s">
        <v>2998</v>
      </c>
      <c r="E30" s="3" t="s">
        <v>2999</v>
      </c>
      <c r="F30" s="3">
        <v>2005</v>
      </c>
      <c r="G30" s="3" t="s">
        <v>3000</v>
      </c>
      <c r="H30" s="3" t="str">
        <f t="shared" si="0"/>
        <v>Recent</v>
      </c>
    </row>
    <row r="31" spans="1:8" ht="12.5" customHeight="1">
      <c r="A31" s="3" t="s">
        <v>3001</v>
      </c>
      <c r="B31" s="3" t="s">
        <v>2873</v>
      </c>
      <c r="C31" s="3" t="s">
        <v>3002</v>
      </c>
      <c r="D31" s="3" t="s">
        <v>3003</v>
      </c>
      <c r="E31" s="3" t="s">
        <v>3004</v>
      </c>
      <c r="F31" s="3">
        <v>2004</v>
      </c>
      <c r="G31" s="3" t="s">
        <v>2961</v>
      </c>
      <c r="H31" s="3" t="str">
        <f t="shared" si="0"/>
        <v>Recent</v>
      </c>
    </row>
    <row r="32" spans="1:8" ht="12.5" customHeight="1">
      <c r="A32" s="3" t="s">
        <v>3005</v>
      </c>
      <c r="B32" s="3" t="s">
        <v>2873</v>
      </c>
      <c r="D32" s="3" t="s">
        <v>3006</v>
      </c>
      <c r="E32" s="3" t="s">
        <v>3007</v>
      </c>
      <c r="F32" s="3">
        <v>1996</v>
      </c>
      <c r="G32" s="3" t="s">
        <v>2970</v>
      </c>
      <c r="H32" s="3" t="str">
        <f t="shared" si="0"/>
        <v>Middle</v>
      </c>
    </row>
    <row r="33" spans="1:8" ht="12.5" customHeight="1">
      <c r="A33" s="3" t="s">
        <v>3008</v>
      </c>
      <c r="B33" s="3" t="s">
        <v>2873</v>
      </c>
      <c r="C33" s="3" t="s">
        <v>3009</v>
      </c>
      <c r="D33" s="3" t="s">
        <v>3010</v>
      </c>
      <c r="E33" s="3" t="s">
        <v>3011</v>
      </c>
      <c r="F33" s="3">
        <v>2020</v>
      </c>
      <c r="G33" s="3" t="s">
        <v>2887</v>
      </c>
      <c r="H33" s="3" t="str">
        <f t="shared" si="0"/>
        <v>Recent</v>
      </c>
    </row>
    <row r="34" spans="1:8" ht="12.5" customHeight="1">
      <c r="A34" s="3" t="s">
        <v>3012</v>
      </c>
      <c r="B34" s="3" t="s">
        <v>2873</v>
      </c>
      <c r="C34" s="3" t="s">
        <v>3013</v>
      </c>
      <c r="D34" s="3" t="s">
        <v>3014</v>
      </c>
      <c r="E34" s="3" t="s">
        <v>2876</v>
      </c>
      <c r="F34" s="3">
        <v>2005</v>
      </c>
      <c r="G34" s="3" t="s">
        <v>2892</v>
      </c>
      <c r="H34" s="3" t="str">
        <f t="shared" si="0"/>
        <v>Recent</v>
      </c>
    </row>
    <row r="35" spans="1:8" ht="12.5" customHeight="1">
      <c r="A35" s="3" t="s">
        <v>3015</v>
      </c>
      <c r="B35" s="3" t="s">
        <v>2873</v>
      </c>
      <c r="C35" s="3" t="s">
        <v>3016</v>
      </c>
      <c r="D35" s="3" t="s">
        <v>3017</v>
      </c>
      <c r="E35" s="3" t="s">
        <v>3018</v>
      </c>
      <c r="F35" s="3">
        <v>1993</v>
      </c>
      <c r="G35" s="3" t="s">
        <v>3019</v>
      </c>
      <c r="H35" s="3" t="str">
        <f t="shared" si="0"/>
        <v>Early</v>
      </c>
    </row>
    <row r="36" spans="1:8" ht="12.5" customHeight="1">
      <c r="A36" s="3" t="s">
        <v>3020</v>
      </c>
      <c r="B36" s="3" t="s">
        <v>2873</v>
      </c>
      <c r="C36" s="3" t="s">
        <v>3021</v>
      </c>
      <c r="D36" s="3" t="s">
        <v>3022</v>
      </c>
      <c r="E36" s="3" t="s">
        <v>3023</v>
      </c>
      <c r="F36" s="3">
        <v>1994</v>
      </c>
      <c r="G36" s="3" t="s">
        <v>2938</v>
      </c>
      <c r="H36" s="3" t="str">
        <f t="shared" si="0"/>
        <v>Early</v>
      </c>
    </row>
    <row r="37" spans="1:8" ht="12.5" customHeight="1">
      <c r="A37" s="3" t="s">
        <v>3024</v>
      </c>
      <c r="B37" s="3" t="s">
        <v>2873</v>
      </c>
      <c r="C37" s="3" t="s">
        <v>3025</v>
      </c>
      <c r="D37" s="3" t="s">
        <v>3026</v>
      </c>
      <c r="E37" s="3" t="s">
        <v>3027</v>
      </c>
      <c r="F37" s="3">
        <v>2000</v>
      </c>
      <c r="G37" s="3" t="s">
        <v>2901</v>
      </c>
      <c r="H37" s="3" t="str">
        <f t="shared" si="0"/>
        <v>Middle</v>
      </c>
    </row>
    <row r="38" spans="1:8" ht="12.5" customHeight="1">
      <c r="A38" s="3" t="s">
        <v>3028</v>
      </c>
      <c r="B38" s="3" t="s">
        <v>2873</v>
      </c>
      <c r="D38" s="3" t="s">
        <v>3029</v>
      </c>
      <c r="E38" s="3" t="s">
        <v>3030</v>
      </c>
      <c r="F38" s="3">
        <v>1993</v>
      </c>
      <c r="G38" s="3" t="s">
        <v>2970</v>
      </c>
      <c r="H38" s="3" t="str">
        <f t="shared" si="0"/>
        <v>Early</v>
      </c>
    </row>
    <row r="39" spans="1:8" ht="12.5" customHeight="1">
      <c r="A39" s="3" t="s">
        <v>3031</v>
      </c>
      <c r="B39" s="3" t="s">
        <v>2873</v>
      </c>
      <c r="C39" s="3" t="s">
        <v>3032</v>
      </c>
      <c r="D39" s="3" t="s">
        <v>3033</v>
      </c>
      <c r="E39" s="3" t="s">
        <v>3034</v>
      </c>
      <c r="F39" s="3">
        <v>1995</v>
      </c>
      <c r="G39" s="3" t="s">
        <v>668</v>
      </c>
      <c r="H39" s="3" t="str">
        <f t="shared" si="0"/>
        <v>Early</v>
      </c>
    </row>
    <row r="40" spans="1:8" ht="12.5" customHeight="1">
      <c r="A40" s="3" t="s">
        <v>3035</v>
      </c>
      <c r="B40" s="3" t="s">
        <v>2873</v>
      </c>
      <c r="C40" s="3" t="s">
        <v>3036</v>
      </c>
      <c r="D40" s="3" t="s">
        <v>3037</v>
      </c>
      <c r="E40" s="3" t="s">
        <v>3034</v>
      </c>
      <c r="F40" s="3">
        <v>2003</v>
      </c>
      <c r="G40" s="3" t="s">
        <v>2892</v>
      </c>
      <c r="H40" s="3" t="str">
        <f t="shared" si="0"/>
        <v>Recent</v>
      </c>
    </row>
    <row r="41" spans="1:8" ht="12.5" customHeight="1">
      <c r="A41" s="3" t="s">
        <v>3038</v>
      </c>
      <c r="B41" s="3" t="s">
        <v>2873</v>
      </c>
      <c r="C41" s="3" t="s">
        <v>3039</v>
      </c>
      <c r="D41" s="3" t="s">
        <v>3040</v>
      </c>
      <c r="E41" s="3" t="s">
        <v>3034</v>
      </c>
      <c r="F41" s="3">
        <v>2004</v>
      </c>
      <c r="G41" s="3" t="s">
        <v>2892</v>
      </c>
      <c r="H41" s="3" t="str">
        <f t="shared" si="0"/>
        <v>Recent</v>
      </c>
    </row>
    <row r="42" spans="1:8" ht="12.5" customHeight="1">
      <c r="A42" s="3" t="s">
        <v>3041</v>
      </c>
      <c r="B42" s="3" t="s">
        <v>2873</v>
      </c>
      <c r="C42" s="3" t="s">
        <v>3042</v>
      </c>
      <c r="D42" s="3" t="s">
        <v>3043</v>
      </c>
      <c r="E42" s="3" t="s">
        <v>3034</v>
      </c>
      <c r="F42" s="3">
        <v>2012</v>
      </c>
      <c r="G42" s="3" t="s">
        <v>2961</v>
      </c>
      <c r="H42" s="3" t="str">
        <f t="shared" si="0"/>
        <v>Recent</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32"/>
  <sheetViews>
    <sheetView workbookViewId="0"/>
  </sheetViews>
  <sheetFormatPr defaultColWidth="10.90625" defaultRowHeight="12.5"/>
  <cols>
    <col min="3" max="3" width="81.269531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28" t="s">
        <v>755</v>
      </c>
      <c r="B2" s="28" t="s">
        <v>756</v>
      </c>
      <c r="C2" s="29" t="s">
        <v>757</v>
      </c>
      <c r="D2" s="28" t="s">
        <v>758</v>
      </c>
      <c r="E2" s="28" t="s">
        <v>759</v>
      </c>
      <c r="F2" s="28">
        <v>2018</v>
      </c>
      <c r="G2" s="28" t="s">
        <v>760</v>
      </c>
      <c r="H2" s="3" t="str">
        <f t="shared" ref="H2:H32" si="0">IF(F2="","",
  IF(F2&lt;=PERCENTILE(IF($B:$B=B2,$F:$F),0.33),"Early",
    IF(F2&lt;=PERCENTILE(IF($B:$B=B2,$F:$F),0.67),"Middle","Recent")))</f>
        <v>Recent</v>
      </c>
    </row>
    <row r="3" spans="1:26" ht="15.75" customHeight="1">
      <c r="A3" s="28" t="s">
        <v>761</v>
      </c>
      <c r="B3" s="28" t="s">
        <v>756</v>
      </c>
      <c r="C3" s="29" t="s">
        <v>762</v>
      </c>
      <c r="D3" s="28" t="s">
        <v>763</v>
      </c>
      <c r="E3" s="28" t="s">
        <v>764</v>
      </c>
      <c r="F3" s="28">
        <v>2017</v>
      </c>
      <c r="G3" s="28" t="s">
        <v>765</v>
      </c>
      <c r="H3" s="3" t="str">
        <f t="shared" si="0"/>
        <v>Recent</v>
      </c>
    </row>
    <row r="4" spans="1:26" ht="15.75" customHeight="1">
      <c r="A4" s="28" t="s">
        <v>766</v>
      </c>
      <c r="B4" s="28" t="s">
        <v>756</v>
      </c>
      <c r="C4" s="29" t="s">
        <v>767</v>
      </c>
      <c r="D4" s="28" t="s">
        <v>768</v>
      </c>
      <c r="E4" s="28" t="s">
        <v>769</v>
      </c>
      <c r="F4" s="28">
        <v>1996</v>
      </c>
      <c r="G4" s="28" t="s">
        <v>770</v>
      </c>
      <c r="H4" s="3" t="str">
        <f t="shared" si="0"/>
        <v>Early</v>
      </c>
    </row>
    <row r="5" spans="1:26" ht="15.75" customHeight="1">
      <c r="A5" s="28" t="s">
        <v>771</v>
      </c>
      <c r="B5" s="28" t="s">
        <v>756</v>
      </c>
      <c r="C5" s="29" t="s">
        <v>772</v>
      </c>
      <c r="D5" s="28" t="s">
        <v>773</v>
      </c>
      <c r="E5" s="28" t="s">
        <v>774</v>
      </c>
      <c r="F5" s="28">
        <v>2002</v>
      </c>
      <c r="G5" s="28" t="s">
        <v>775</v>
      </c>
      <c r="H5" s="3" t="str">
        <f t="shared" si="0"/>
        <v>Early</v>
      </c>
    </row>
    <row r="6" spans="1:26" ht="15.75" customHeight="1">
      <c r="A6" s="28" t="s">
        <v>776</v>
      </c>
      <c r="B6" s="28" t="s">
        <v>756</v>
      </c>
      <c r="C6" s="29" t="s">
        <v>777</v>
      </c>
      <c r="D6" s="28" t="s">
        <v>778</v>
      </c>
      <c r="E6" s="28" t="s">
        <v>779</v>
      </c>
      <c r="F6" s="28">
        <v>2015</v>
      </c>
      <c r="G6" s="28" t="s">
        <v>770</v>
      </c>
      <c r="H6" s="3" t="str">
        <f t="shared" si="0"/>
        <v>Middle</v>
      </c>
    </row>
    <row r="7" spans="1:26" ht="15.75" customHeight="1">
      <c r="A7" s="28" t="s">
        <v>780</v>
      </c>
      <c r="B7" s="28" t="s">
        <v>756</v>
      </c>
      <c r="C7" s="29" t="s">
        <v>781</v>
      </c>
      <c r="D7" s="28" t="s">
        <v>782</v>
      </c>
      <c r="E7" s="28" t="s">
        <v>783</v>
      </c>
      <c r="F7" s="28">
        <v>2002</v>
      </c>
      <c r="G7" s="28" t="s">
        <v>770</v>
      </c>
      <c r="H7" s="3" t="str">
        <f t="shared" si="0"/>
        <v>Early</v>
      </c>
    </row>
    <row r="8" spans="1:26" ht="15.75" customHeight="1">
      <c r="A8" s="28" t="s">
        <v>784</v>
      </c>
      <c r="B8" s="28" t="s">
        <v>756</v>
      </c>
      <c r="C8" s="29" t="s">
        <v>785</v>
      </c>
      <c r="D8" s="28" t="s">
        <v>786</v>
      </c>
      <c r="E8" s="28" t="s">
        <v>787</v>
      </c>
      <c r="F8" s="28">
        <v>2007</v>
      </c>
      <c r="G8" s="28" t="s">
        <v>788</v>
      </c>
      <c r="H8" s="3" t="str">
        <f t="shared" si="0"/>
        <v>Early</v>
      </c>
    </row>
    <row r="9" spans="1:26" ht="15.75" customHeight="1">
      <c r="A9" s="23" t="s">
        <v>789</v>
      </c>
      <c r="B9" s="23" t="s">
        <v>756</v>
      </c>
      <c r="C9" s="23"/>
      <c r="D9" s="23" t="s">
        <v>790</v>
      </c>
      <c r="E9" s="23" t="s">
        <v>787</v>
      </c>
      <c r="F9" s="23">
        <v>2016</v>
      </c>
      <c r="G9" s="23" t="s">
        <v>791</v>
      </c>
      <c r="H9" s="3" t="str">
        <f t="shared" si="0"/>
        <v>Middle</v>
      </c>
    </row>
    <row r="10" spans="1:26" ht="15.75" customHeight="1">
      <c r="A10" s="28" t="s">
        <v>792</v>
      </c>
      <c r="B10" s="28" t="s">
        <v>756</v>
      </c>
      <c r="C10" s="29" t="s">
        <v>793</v>
      </c>
      <c r="D10" s="28" t="s">
        <v>794</v>
      </c>
      <c r="E10" s="28" t="s">
        <v>787</v>
      </c>
      <c r="F10" s="28">
        <v>2020</v>
      </c>
      <c r="G10" s="28" t="s">
        <v>795</v>
      </c>
      <c r="H10" s="3" t="str">
        <f t="shared" si="0"/>
        <v>Recent</v>
      </c>
    </row>
    <row r="11" spans="1:26" ht="15.75" customHeight="1">
      <c r="A11" s="28" t="s">
        <v>796</v>
      </c>
      <c r="B11" s="28" t="s">
        <v>756</v>
      </c>
      <c r="C11" s="29" t="s">
        <v>797</v>
      </c>
      <c r="D11" s="28" t="s">
        <v>798</v>
      </c>
      <c r="E11" s="28" t="s">
        <v>799</v>
      </c>
      <c r="F11" s="28">
        <v>2007</v>
      </c>
      <c r="G11" s="28" t="s">
        <v>800</v>
      </c>
      <c r="H11" s="3" t="str">
        <f t="shared" si="0"/>
        <v>Early</v>
      </c>
    </row>
    <row r="12" spans="1:26" ht="15.75" customHeight="1">
      <c r="A12" s="28" t="s">
        <v>801</v>
      </c>
      <c r="B12" s="28" t="s">
        <v>756</v>
      </c>
      <c r="C12" s="29" t="s">
        <v>802</v>
      </c>
      <c r="D12" s="28" t="s">
        <v>803</v>
      </c>
      <c r="E12" s="28" t="s">
        <v>804</v>
      </c>
      <c r="F12" s="28">
        <v>2004</v>
      </c>
      <c r="G12" s="28" t="s">
        <v>805</v>
      </c>
      <c r="H12" s="3" t="str">
        <f t="shared" si="0"/>
        <v>Early</v>
      </c>
    </row>
    <row r="13" spans="1:26" ht="15.75" customHeight="1">
      <c r="A13" s="28" t="s">
        <v>806</v>
      </c>
      <c r="B13" s="28" t="s">
        <v>756</v>
      </c>
      <c r="C13" s="29" t="s">
        <v>807</v>
      </c>
      <c r="D13" s="28" t="s">
        <v>808</v>
      </c>
      <c r="E13" s="28" t="s">
        <v>809</v>
      </c>
      <c r="F13" s="28">
        <v>2006</v>
      </c>
      <c r="G13" s="28" t="s">
        <v>770</v>
      </c>
      <c r="H13" s="3" t="str">
        <f t="shared" si="0"/>
        <v>Early</v>
      </c>
    </row>
    <row r="14" spans="1:26" ht="15.75" customHeight="1">
      <c r="A14" s="28" t="s">
        <v>810</v>
      </c>
      <c r="B14" s="28" t="s">
        <v>756</v>
      </c>
      <c r="C14" s="29" t="s">
        <v>811</v>
      </c>
      <c r="D14" s="28" t="s">
        <v>812</v>
      </c>
      <c r="E14" s="28" t="s">
        <v>813</v>
      </c>
      <c r="F14" s="28">
        <v>2016</v>
      </c>
      <c r="G14" s="28" t="s">
        <v>814</v>
      </c>
      <c r="H14" s="3" t="str">
        <f t="shared" si="0"/>
        <v>Middle</v>
      </c>
    </row>
    <row r="15" spans="1:26" ht="15.75" customHeight="1">
      <c r="A15" s="28" t="s">
        <v>815</v>
      </c>
      <c r="B15" s="28" t="s">
        <v>756</v>
      </c>
      <c r="C15" s="29" t="s">
        <v>816</v>
      </c>
      <c r="D15" s="28" t="s">
        <v>817</v>
      </c>
      <c r="E15" s="28" t="s">
        <v>818</v>
      </c>
      <c r="F15" s="28">
        <v>2016</v>
      </c>
      <c r="G15" s="28" t="s">
        <v>805</v>
      </c>
      <c r="H15" s="3" t="str">
        <f t="shared" si="0"/>
        <v>Middle</v>
      </c>
    </row>
    <row r="16" spans="1:26" ht="15.75" customHeight="1">
      <c r="A16" s="23" t="s">
        <v>819</v>
      </c>
      <c r="B16" s="23" t="s">
        <v>756</v>
      </c>
      <c r="C16" s="23"/>
      <c r="D16" s="23" t="s">
        <v>820</v>
      </c>
      <c r="E16" s="23" t="s">
        <v>821</v>
      </c>
      <c r="F16" s="23">
        <v>1999</v>
      </c>
      <c r="G16" s="23" t="s">
        <v>800</v>
      </c>
      <c r="H16" s="3" t="str">
        <f t="shared" si="0"/>
        <v>Early</v>
      </c>
    </row>
    <row r="17" spans="1:8" ht="15.75" customHeight="1">
      <c r="A17" s="28" t="s">
        <v>822</v>
      </c>
      <c r="B17" s="28" t="s">
        <v>756</v>
      </c>
      <c r="C17" s="29" t="s">
        <v>823</v>
      </c>
      <c r="D17" s="28" t="s">
        <v>824</v>
      </c>
      <c r="E17" s="28" t="s">
        <v>825</v>
      </c>
      <c r="F17" s="28">
        <v>2019</v>
      </c>
      <c r="G17" s="28" t="s">
        <v>814</v>
      </c>
      <c r="H17" s="3" t="str">
        <f t="shared" si="0"/>
        <v>Recent</v>
      </c>
    </row>
    <row r="18" spans="1:8" ht="15.75" customHeight="1">
      <c r="A18" s="23" t="s">
        <v>826</v>
      </c>
      <c r="B18" s="23" t="s">
        <v>756</v>
      </c>
      <c r="C18" s="23"/>
      <c r="D18" s="23" t="s">
        <v>827</v>
      </c>
      <c r="E18" s="23" t="s">
        <v>828</v>
      </c>
      <c r="F18" s="23">
        <v>2008</v>
      </c>
      <c r="G18" s="23" t="s">
        <v>829</v>
      </c>
      <c r="H18" s="3" t="str">
        <f t="shared" si="0"/>
        <v>Middle</v>
      </c>
    </row>
    <row r="19" spans="1:8" ht="15.75" customHeight="1">
      <c r="A19" s="28" t="s">
        <v>830</v>
      </c>
      <c r="B19" s="28" t="s">
        <v>756</v>
      </c>
      <c r="C19" s="29" t="s">
        <v>831</v>
      </c>
      <c r="D19" s="28" t="s">
        <v>832</v>
      </c>
      <c r="E19" s="28" t="s">
        <v>833</v>
      </c>
      <c r="F19" s="28">
        <v>2019</v>
      </c>
      <c r="G19" s="28" t="s">
        <v>834</v>
      </c>
      <c r="H19" s="3" t="str">
        <f t="shared" si="0"/>
        <v>Recent</v>
      </c>
    </row>
    <row r="20" spans="1:8" ht="12.5" customHeight="1">
      <c r="A20" s="28" t="s">
        <v>835</v>
      </c>
      <c r="B20" s="28" t="s">
        <v>756</v>
      </c>
      <c r="C20" s="29" t="s">
        <v>836</v>
      </c>
      <c r="D20" s="28" t="s">
        <v>837</v>
      </c>
      <c r="E20" s="28" t="s">
        <v>838</v>
      </c>
      <c r="F20" s="28">
        <v>2014</v>
      </c>
      <c r="G20" s="28" t="s">
        <v>770</v>
      </c>
      <c r="H20" s="3" t="str">
        <f t="shared" si="0"/>
        <v>Middle</v>
      </c>
    </row>
    <row r="21" spans="1:8" ht="12.5" customHeight="1">
      <c r="A21" s="28" t="s">
        <v>839</v>
      </c>
      <c r="B21" s="28" t="s">
        <v>756</v>
      </c>
      <c r="C21" s="29" t="s">
        <v>840</v>
      </c>
      <c r="D21" s="28" t="s">
        <v>841</v>
      </c>
      <c r="E21" s="28" t="s">
        <v>842</v>
      </c>
      <c r="F21" s="28">
        <v>1995</v>
      </c>
      <c r="G21" s="28" t="s">
        <v>770</v>
      </c>
      <c r="H21" s="3" t="str">
        <f t="shared" si="0"/>
        <v>Early</v>
      </c>
    </row>
    <row r="22" spans="1:8" ht="12.5" customHeight="1">
      <c r="A22" s="23" t="s">
        <v>843</v>
      </c>
      <c r="B22" s="23" t="s">
        <v>756</v>
      </c>
      <c r="C22" s="23"/>
      <c r="D22" s="23" t="s">
        <v>844</v>
      </c>
      <c r="E22" s="23" t="s">
        <v>845</v>
      </c>
      <c r="F22" s="23">
        <v>2018</v>
      </c>
      <c r="G22" s="23" t="s">
        <v>846</v>
      </c>
      <c r="H22" s="3" t="str">
        <f t="shared" si="0"/>
        <v>Recent</v>
      </c>
    </row>
    <row r="23" spans="1:8" ht="12.5" customHeight="1">
      <c r="A23" s="23" t="s">
        <v>847</v>
      </c>
      <c r="B23" s="23" t="s">
        <v>756</v>
      </c>
      <c r="C23" s="23"/>
      <c r="D23" s="23" t="s">
        <v>848</v>
      </c>
      <c r="E23" s="23" t="s">
        <v>849</v>
      </c>
      <c r="F23" s="23">
        <v>2015</v>
      </c>
      <c r="G23" s="23" t="s">
        <v>846</v>
      </c>
      <c r="H23" s="3" t="str">
        <f t="shared" si="0"/>
        <v>Middle</v>
      </c>
    </row>
    <row r="24" spans="1:8" ht="12.5" customHeight="1">
      <c r="A24" s="28" t="s">
        <v>850</v>
      </c>
      <c r="B24" s="28" t="s">
        <v>756</v>
      </c>
      <c r="C24" s="29" t="s">
        <v>851</v>
      </c>
      <c r="D24" s="28" t="s">
        <v>852</v>
      </c>
      <c r="E24" s="28" t="s">
        <v>853</v>
      </c>
      <c r="F24" s="28">
        <v>2007</v>
      </c>
      <c r="G24" s="28" t="s">
        <v>800</v>
      </c>
      <c r="H24" s="3" t="str">
        <f t="shared" si="0"/>
        <v>Early</v>
      </c>
    </row>
    <row r="25" spans="1:8" ht="12.5" customHeight="1">
      <c r="A25" s="28" t="s">
        <v>854</v>
      </c>
      <c r="B25" s="28" t="s">
        <v>756</v>
      </c>
      <c r="C25" s="29" t="s">
        <v>855</v>
      </c>
      <c r="D25" s="28" t="s">
        <v>856</v>
      </c>
      <c r="E25" s="28" t="s">
        <v>857</v>
      </c>
      <c r="F25" s="28">
        <v>1994</v>
      </c>
      <c r="G25" s="28" t="s">
        <v>805</v>
      </c>
      <c r="H25" s="3" t="str">
        <f t="shared" si="0"/>
        <v>Early</v>
      </c>
    </row>
    <row r="26" spans="1:8" ht="12.5" customHeight="1">
      <c r="A26" s="28" t="s">
        <v>858</v>
      </c>
      <c r="B26" s="28" t="s">
        <v>756</v>
      </c>
      <c r="C26" s="29" t="s">
        <v>859</v>
      </c>
      <c r="D26" s="28" t="s">
        <v>860</v>
      </c>
      <c r="E26" s="28" t="s">
        <v>861</v>
      </c>
      <c r="F26" s="28">
        <v>2018</v>
      </c>
      <c r="G26" s="28" t="s">
        <v>765</v>
      </c>
      <c r="H26" s="3" t="str">
        <f t="shared" si="0"/>
        <v>Recent</v>
      </c>
    </row>
    <row r="27" spans="1:8" ht="12.5" customHeight="1">
      <c r="A27" s="28" t="s">
        <v>862</v>
      </c>
      <c r="B27" s="28" t="s">
        <v>756</v>
      </c>
      <c r="C27" s="29" t="s">
        <v>863</v>
      </c>
      <c r="D27" s="28" t="s">
        <v>864</v>
      </c>
      <c r="E27" s="28" t="s">
        <v>861</v>
      </c>
      <c r="F27" s="28">
        <v>2019</v>
      </c>
      <c r="G27" s="28" t="s">
        <v>765</v>
      </c>
      <c r="H27" s="3" t="str">
        <f t="shared" si="0"/>
        <v>Recent</v>
      </c>
    </row>
    <row r="28" spans="1:8" ht="12.5" customHeight="1">
      <c r="A28" s="28" t="s">
        <v>865</v>
      </c>
      <c r="B28" s="28" t="s">
        <v>756</v>
      </c>
      <c r="C28" s="29" t="s">
        <v>866</v>
      </c>
      <c r="D28" s="28" t="s">
        <v>867</v>
      </c>
      <c r="E28" s="28" t="s">
        <v>868</v>
      </c>
      <c r="F28" s="28">
        <v>2018</v>
      </c>
      <c r="G28" s="28" t="s">
        <v>869</v>
      </c>
      <c r="H28" s="3" t="str">
        <f t="shared" si="0"/>
        <v>Recent</v>
      </c>
    </row>
    <row r="29" spans="1:8" ht="12.5" customHeight="1">
      <c r="A29" s="28" t="s">
        <v>870</v>
      </c>
      <c r="B29" s="28" t="s">
        <v>756</v>
      </c>
      <c r="C29" s="29" t="s">
        <v>871</v>
      </c>
      <c r="D29" s="28" t="s">
        <v>872</v>
      </c>
      <c r="E29" s="28" t="s">
        <v>873</v>
      </c>
      <c r="F29" s="28">
        <v>2018</v>
      </c>
      <c r="G29" s="28" t="s">
        <v>765</v>
      </c>
      <c r="H29" s="3" t="str">
        <f t="shared" si="0"/>
        <v>Recent</v>
      </c>
    </row>
    <row r="30" spans="1:8" ht="12.5" customHeight="1">
      <c r="A30" s="28" t="s">
        <v>874</v>
      </c>
      <c r="B30" s="28" t="s">
        <v>756</v>
      </c>
      <c r="C30" s="29" t="s">
        <v>875</v>
      </c>
      <c r="D30" s="28" t="s">
        <v>876</v>
      </c>
      <c r="E30" s="28" t="s">
        <v>877</v>
      </c>
      <c r="F30" s="28">
        <v>2007</v>
      </c>
      <c r="G30" s="28" t="s">
        <v>800</v>
      </c>
      <c r="H30" s="3" t="str">
        <f t="shared" si="0"/>
        <v>Early</v>
      </c>
    </row>
    <row r="31" spans="1:8" ht="12.5" customHeight="1">
      <c r="A31" s="28" t="s">
        <v>878</v>
      </c>
      <c r="B31" s="28" t="s">
        <v>756</v>
      </c>
      <c r="C31" s="29" t="s">
        <v>879</v>
      </c>
      <c r="D31" s="28" t="s">
        <v>880</v>
      </c>
      <c r="E31" s="28" t="s">
        <v>881</v>
      </c>
      <c r="F31" s="28">
        <v>2009</v>
      </c>
      <c r="G31" s="28" t="s">
        <v>805</v>
      </c>
      <c r="H31" s="3" t="str">
        <f t="shared" si="0"/>
        <v>Middle</v>
      </c>
    </row>
    <row r="32" spans="1:8" ht="12.5" customHeight="1">
      <c r="A32" s="28" t="s">
        <v>882</v>
      </c>
      <c r="B32" s="28" t="s">
        <v>756</v>
      </c>
      <c r="C32" s="29" t="s">
        <v>883</v>
      </c>
      <c r="D32" s="28" t="s">
        <v>884</v>
      </c>
      <c r="E32" s="28" t="s">
        <v>885</v>
      </c>
      <c r="F32" s="28">
        <v>2006</v>
      </c>
      <c r="G32" s="28" t="s">
        <v>886</v>
      </c>
      <c r="H32" s="3" t="str">
        <f t="shared" si="0"/>
        <v>Early</v>
      </c>
    </row>
  </sheetData>
  <hyperlinks>
    <hyperlink ref="C2" r:id="rId1" xr:uid="{00000000-0004-0000-0500-000000000000}"/>
    <hyperlink ref="C3" r:id="rId2" xr:uid="{00000000-0004-0000-0500-000001000000}"/>
    <hyperlink ref="C4" r:id="rId3" xr:uid="{00000000-0004-0000-0500-000002000000}"/>
    <hyperlink ref="C5" r:id="rId4" xr:uid="{00000000-0004-0000-0500-000003000000}"/>
    <hyperlink ref="C6" r:id="rId5" xr:uid="{00000000-0004-0000-0500-000004000000}"/>
    <hyperlink ref="C7" r:id="rId6" xr:uid="{00000000-0004-0000-0500-000005000000}"/>
    <hyperlink ref="C8" r:id="rId7" xr:uid="{00000000-0004-0000-0500-000006000000}"/>
    <hyperlink ref="C10" r:id="rId8" xr:uid="{00000000-0004-0000-0500-000007000000}"/>
    <hyperlink ref="C11" r:id="rId9" xr:uid="{00000000-0004-0000-0500-000008000000}"/>
    <hyperlink ref="C12" r:id="rId10" xr:uid="{00000000-0004-0000-0500-000009000000}"/>
    <hyperlink ref="C13" r:id="rId11" xr:uid="{00000000-0004-0000-0500-00000A000000}"/>
    <hyperlink ref="C14" r:id="rId12" xr:uid="{00000000-0004-0000-0500-00000B000000}"/>
    <hyperlink ref="C15" r:id="rId13" xr:uid="{00000000-0004-0000-0500-00000C000000}"/>
    <hyperlink ref="C17" r:id="rId14" xr:uid="{00000000-0004-0000-0500-00000D000000}"/>
    <hyperlink ref="C19" r:id="rId15" xr:uid="{00000000-0004-0000-0500-00000E000000}"/>
    <hyperlink ref="C20" r:id="rId16" xr:uid="{00000000-0004-0000-0500-00000F000000}"/>
    <hyperlink ref="C21" r:id="rId17" xr:uid="{00000000-0004-0000-0500-000010000000}"/>
    <hyperlink ref="C24" r:id="rId18" xr:uid="{00000000-0004-0000-0500-000011000000}"/>
    <hyperlink ref="C25" r:id="rId19" xr:uid="{00000000-0004-0000-0500-000012000000}"/>
    <hyperlink ref="C26" r:id="rId20" xr:uid="{00000000-0004-0000-0500-000013000000}"/>
    <hyperlink ref="C27" r:id="rId21" xr:uid="{00000000-0004-0000-0500-000014000000}"/>
    <hyperlink ref="C28" r:id="rId22" xr:uid="{00000000-0004-0000-0500-000015000000}"/>
    <hyperlink ref="C29" r:id="rId23" xr:uid="{00000000-0004-0000-0500-000016000000}"/>
    <hyperlink ref="C30" r:id="rId24" xr:uid="{00000000-0004-0000-0500-000017000000}"/>
    <hyperlink ref="C31" r:id="rId25" xr:uid="{00000000-0004-0000-0500-000018000000}"/>
    <hyperlink ref="C32" r:id="rId26" xr:uid="{00000000-0004-0000-0500-000019000000}"/>
  </hyperlink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5"/>
  <sheetViews>
    <sheetView workbookViewId="0"/>
  </sheetViews>
  <sheetFormatPr defaultColWidth="10.90625" defaultRowHeight="12.5"/>
  <cols>
    <col min="3" max="3" width="74.0898437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30" t="s">
        <v>887</v>
      </c>
      <c r="B2" s="30" t="s">
        <v>888</v>
      </c>
      <c r="C2" s="31" t="s">
        <v>889</v>
      </c>
      <c r="D2" s="30" t="s">
        <v>890</v>
      </c>
      <c r="E2" s="30" t="s">
        <v>891</v>
      </c>
      <c r="F2" s="30">
        <v>2019</v>
      </c>
      <c r="G2" s="30" t="s">
        <v>892</v>
      </c>
      <c r="H2" s="3" t="str">
        <f t="shared" ref="H2:H25" si="0">IF(F2="","",
  IF(F2&lt;=PERCENTILE(IF($B:$B=B2,$F:$F),0.33),"Early",
    IF(F2&lt;=PERCENTILE(IF($B:$B=B2,$F:$F),0.67),"Middle","Recent")))</f>
        <v>Recent</v>
      </c>
    </row>
    <row r="3" spans="1:26" ht="15.75" customHeight="1">
      <c r="A3" s="30" t="s">
        <v>893</v>
      </c>
      <c r="B3" s="30" t="s">
        <v>888</v>
      </c>
      <c r="C3" s="31" t="s">
        <v>894</v>
      </c>
      <c r="D3" s="30" t="s">
        <v>895</v>
      </c>
      <c r="E3" s="30" t="s">
        <v>896</v>
      </c>
      <c r="F3" s="30">
        <v>2008</v>
      </c>
      <c r="G3" s="30" t="s">
        <v>897</v>
      </c>
      <c r="H3" s="3" t="str">
        <f t="shared" si="0"/>
        <v>Early</v>
      </c>
    </row>
    <row r="4" spans="1:26" ht="15.75" customHeight="1">
      <c r="A4" s="30" t="s">
        <v>898</v>
      </c>
      <c r="B4" s="30" t="s">
        <v>888</v>
      </c>
      <c r="C4" s="31" t="s">
        <v>899</v>
      </c>
      <c r="D4" s="30" t="s">
        <v>900</v>
      </c>
      <c r="E4" s="30" t="s">
        <v>901</v>
      </c>
      <c r="F4" s="30">
        <v>2003</v>
      </c>
      <c r="G4" s="30" t="s">
        <v>902</v>
      </c>
      <c r="H4" s="3" t="str">
        <f t="shared" si="0"/>
        <v>Early</v>
      </c>
    </row>
    <row r="5" spans="1:26" ht="15.75" customHeight="1">
      <c r="A5" s="30" t="s">
        <v>903</v>
      </c>
      <c r="B5" s="30" t="s">
        <v>888</v>
      </c>
      <c r="C5" s="31" t="s">
        <v>904</v>
      </c>
      <c r="D5" s="30" t="s">
        <v>905</v>
      </c>
      <c r="E5" s="30" t="s">
        <v>906</v>
      </c>
      <c r="F5" s="30">
        <v>2013</v>
      </c>
      <c r="G5" s="30" t="s">
        <v>907</v>
      </c>
      <c r="H5" s="3" t="str">
        <f t="shared" si="0"/>
        <v>Middle</v>
      </c>
    </row>
    <row r="6" spans="1:26" ht="15.75" customHeight="1">
      <c r="A6" s="30" t="s">
        <v>908</v>
      </c>
      <c r="B6" s="30" t="s">
        <v>888</v>
      </c>
      <c r="C6" s="31" t="s">
        <v>909</v>
      </c>
      <c r="D6" s="30" t="s">
        <v>910</v>
      </c>
      <c r="E6" s="30" t="s">
        <v>911</v>
      </c>
      <c r="F6" s="30">
        <v>2012</v>
      </c>
      <c r="G6" s="30" t="s">
        <v>897</v>
      </c>
      <c r="H6" s="3" t="str">
        <f t="shared" si="0"/>
        <v>Middle</v>
      </c>
    </row>
    <row r="7" spans="1:26" ht="15.75" customHeight="1">
      <c r="A7" s="30" t="s">
        <v>912</v>
      </c>
      <c r="B7" s="30" t="s">
        <v>888</v>
      </c>
      <c r="C7" s="31" t="s">
        <v>913</v>
      </c>
      <c r="D7" s="30" t="s">
        <v>914</v>
      </c>
      <c r="E7" s="30" t="s">
        <v>915</v>
      </c>
      <c r="F7" s="30">
        <v>2011</v>
      </c>
      <c r="G7" s="30" t="s">
        <v>916</v>
      </c>
      <c r="H7" s="3" t="str">
        <f t="shared" si="0"/>
        <v>Middle</v>
      </c>
    </row>
    <row r="8" spans="1:26" ht="15.75" customHeight="1">
      <c r="A8" s="30" t="s">
        <v>917</v>
      </c>
      <c r="B8" s="30" t="s">
        <v>888</v>
      </c>
      <c r="C8" s="32" t="s">
        <v>3044</v>
      </c>
      <c r="D8" s="30" t="s">
        <v>919</v>
      </c>
      <c r="E8" s="30" t="s">
        <v>920</v>
      </c>
      <c r="F8" s="30">
        <v>2011</v>
      </c>
      <c r="G8" s="30" t="s">
        <v>897</v>
      </c>
      <c r="H8" s="3" t="str">
        <f t="shared" si="0"/>
        <v>Middle</v>
      </c>
    </row>
    <row r="9" spans="1:26" ht="15.75" customHeight="1">
      <c r="A9" s="30" t="s">
        <v>921</v>
      </c>
      <c r="B9" s="30" t="s">
        <v>888</v>
      </c>
      <c r="C9" s="32" t="s">
        <v>3045</v>
      </c>
      <c r="D9" s="30" t="s">
        <v>923</v>
      </c>
      <c r="E9" s="30" t="s">
        <v>924</v>
      </c>
      <c r="F9" s="30">
        <v>2017</v>
      </c>
      <c r="G9" s="30" t="s">
        <v>907</v>
      </c>
      <c r="H9" s="3" t="str">
        <f t="shared" si="0"/>
        <v>Recent</v>
      </c>
    </row>
    <row r="10" spans="1:26" ht="15.75" customHeight="1">
      <c r="A10" s="30" t="s">
        <v>925</v>
      </c>
      <c r="B10" s="30" t="s">
        <v>888</v>
      </c>
      <c r="C10" s="32" t="s">
        <v>3046</v>
      </c>
      <c r="D10" s="30" t="s">
        <v>927</v>
      </c>
      <c r="E10" s="30" t="s">
        <v>928</v>
      </c>
      <c r="F10" s="30">
        <v>2014</v>
      </c>
      <c r="G10" s="30" t="s">
        <v>897</v>
      </c>
      <c r="H10" s="3" t="str">
        <f t="shared" si="0"/>
        <v>Recent</v>
      </c>
    </row>
    <row r="11" spans="1:26" ht="15.75" customHeight="1">
      <c r="A11" s="30" t="s">
        <v>929</v>
      </c>
      <c r="B11" s="30" t="s">
        <v>888</v>
      </c>
      <c r="C11" s="32" t="s">
        <v>3047</v>
      </c>
      <c r="D11" s="30" t="s">
        <v>931</v>
      </c>
      <c r="E11" s="30" t="s">
        <v>932</v>
      </c>
      <c r="F11" s="30">
        <v>2013</v>
      </c>
      <c r="G11" s="30" t="s">
        <v>902</v>
      </c>
      <c r="H11" s="3" t="str">
        <f t="shared" si="0"/>
        <v>Middle</v>
      </c>
    </row>
    <row r="12" spans="1:26" ht="15.75" customHeight="1">
      <c r="A12" s="30" t="s">
        <v>933</v>
      </c>
      <c r="B12" s="30" t="s">
        <v>888</v>
      </c>
      <c r="C12" s="32" t="s">
        <v>3048</v>
      </c>
      <c r="D12" s="30" t="s">
        <v>935</v>
      </c>
      <c r="E12" s="30" t="s">
        <v>936</v>
      </c>
      <c r="F12" s="30">
        <v>2019</v>
      </c>
      <c r="G12" s="30" t="s">
        <v>937</v>
      </c>
      <c r="H12" s="3" t="str">
        <f t="shared" si="0"/>
        <v>Recent</v>
      </c>
    </row>
    <row r="13" spans="1:26" ht="15.75" customHeight="1">
      <c r="A13" s="30" t="s">
        <v>938</v>
      </c>
      <c r="B13" s="30" t="s">
        <v>888</v>
      </c>
      <c r="C13" s="32" t="s">
        <v>3049</v>
      </c>
      <c r="D13" s="30" t="s">
        <v>940</v>
      </c>
      <c r="E13" s="30" t="s">
        <v>941</v>
      </c>
      <c r="F13" s="30">
        <v>2015</v>
      </c>
      <c r="G13" s="30" t="s">
        <v>902</v>
      </c>
      <c r="H13" s="3" t="str">
        <f t="shared" si="0"/>
        <v>Recent</v>
      </c>
    </row>
    <row r="14" spans="1:26" ht="15.75" customHeight="1">
      <c r="A14" s="30" t="s">
        <v>942</v>
      </c>
      <c r="B14" s="30" t="s">
        <v>888</v>
      </c>
      <c r="C14" s="32" t="s">
        <v>3050</v>
      </c>
      <c r="D14" s="30" t="s">
        <v>944</v>
      </c>
      <c r="E14" s="30" t="s">
        <v>945</v>
      </c>
      <c r="F14" s="30">
        <v>2011</v>
      </c>
      <c r="G14" s="30" t="s">
        <v>946</v>
      </c>
      <c r="H14" s="3" t="str">
        <f t="shared" si="0"/>
        <v>Middle</v>
      </c>
    </row>
    <row r="15" spans="1:26" ht="15.75" customHeight="1">
      <c r="A15" s="30" t="s">
        <v>947</v>
      </c>
      <c r="B15" s="30" t="s">
        <v>888</v>
      </c>
      <c r="C15" s="32" t="s">
        <v>3051</v>
      </c>
      <c r="D15" s="30" t="s">
        <v>949</v>
      </c>
      <c r="E15" s="30" t="s">
        <v>950</v>
      </c>
      <c r="F15" s="30">
        <v>2010</v>
      </c>
      <c r="G15" s="30" t="s">
        <v>951</v>
      </c>
      <c r="H15" s="3" t="str">
        <f t="shared" si="0"/>
        <v>Early</v>
      </c>
    </row>
    <row r="16" spans="1:26" ht="15.75" customHeight="1">
      <c r="A16" s="30" t="s">
        <v>952</v>
      </c>
      <c r="B16" s="30" t="s">
        <v>888</v>
      </c>
      <c r="C16" s="32" t="s">
        <v>3052</v>
      </c>
      <c r="D16" s="30" t="s">
        <v>954</v>
      </c>
      <c r="E16" s="30" t="s">
        <v>955</v>
      </c>
      <c r="F16" s="30">
        <v>2007</v>
      </c>
      <c r="G16" s="30" t="s">
        <v>902</v>
      </c>
      <c r="H16" s="3" t="str">
        <f t="shared" si="0"/>
        <v>Early</v>
      </c>
    </row>
    <row r="17" spans="1:8" ht="15.75" customHeight="1">
      <c r="A17" s="30" t="s">
        <v>956</v>
      </c>
      <c r="B17" s="30" t="s">
        <v>888</v>
      </c>
      <c r="C17" s="32" t="s">
        <v>3053</v>
      </c>
      <c r="D17" s="30" t="s">
        <v>958</v>
      </c>
      <c r="E17" s="30" t="s">
        <v>955</v>
      </c>
      <c r="F17" s="30">
        <v>2011</v>
      </c>
      <c r="G17" s="30" t="s">
        <v>897</v>
      </c>
      <c r="H17" s="3" t="str">
        <f t="shared" si="0"/>
        <v>Middle</v>
      </c>
    </row>
    <row r="18" spans="1:8" ht="15.75" customHeight="1">
      <c r="A18" s="30" t="s">
        <v>959</v>
      </c>
      <c r="B18" s="30" t="s">
        <v>888</v>
      </c>
      <c r="C18" s="32" t="s">
        <v>3054</v>
      </c>
      <c r="D18" s="30" t="s">
        <v>961</v>
      </c>
      <c r="E18" s="30" t="s">
        <v>962</v>
      </c>
      <c r="F18" s="30">
        <v>2002</v>
      </c>
      <c r="G18" s="30" t="s">
        <v>902</v>
      </c>
      <c r="H18" s="3" t="str">
        <f t="shared" si="0"/>
        <v>Early</v>
      </c>
    </row>
    <row r="19" spans="1:8" ht="15.75" customHeight="1">
      <c r="A19" s="30" t="s">
        <v>963</v>
      </c>
      <c r="B19" s="30" t="s">
        <v>888</v>
      </c>
      <c r="C19" s="32" t="s">
        <v>3055</v>
      </c>
      <c r="D19" s="30" t="s">
        <v>965</v>
      </c>
      <c r="E19" s="30" t="s">
        <v>966</v>
      </c>
      <c r="F19" s="30">
        <v>2009</v>
      </c>
      <c r="G19" s="30" t="s">
        <v>967</v>
      </c>
      <c r="H19" s="3" t="str">
        <f t="shared" si="0"/>
        <v>Early</v>
      </c>
    </row>
    <row r="20" spans="1:8" ht="14" customHeight="1">
      <c r="A20" s="30" t="s">
        <v>968</v>
      </c>
      <c r="B20" s="30" t="s">
        <v>888</v>
      </c>
      <c r="C20" s="33" t="s">
        <v>969</v>
      </c>
      <c r="D20" s="30" t="s">
        <v>970</v>
      </c>
      <c r="E20" s="30" t="s">
        <v>971</v>
      </c>
      <c r="F20" s="30">
        <v>2012</v>
      </c>
      <c r="G20" s="30" t="s">
        <v>972</v>
      </c>
      <c r="H20" s="3" t="str">
        <f t="shared" si="0"/>
        <v>Middle</v>
      </c>
    </row>
    <row r="21" spans="1:8" ht="15.5" customHeight="1">
      <c r="A21" s="30" t="s">
        <v>973</v>
      </c>
      <c r="B21" s="30" t="s">
        <v>888</v>
      </c>
      <c r="C21" s="32" t="s">
        <v>3056</v>
      </c>
      <c r="D21" s="30" t="s">
        <v>975</v>
      </c>
      <c r="E21" s="30" t="s">
        <v>976</v>
      </c>
      <c r="F21" s="30">
        <v>2010</v>
      </c>
      <c r="G21" s="30" t="s">
        <v>897</v>
      </c>
      <c r="H21" s="3" t="str">
        <f t="shared" si="0"/>
        <v>Early</v>
      </c>
    </row>
    <row r="22" spans="1:8" ht="15.5" customHeight="1">
      <c r="A22" s="30" t="s">
        <v>977</v>
      </c>
      <c r="B22" s="30" t="s">
        <v>888</v>
      </c>
      <c r="C22" s="32" t="s">
        <v>3057</v>
      </c>
      <c r="D22" s="30" t="s">
        <v>979</v>
      </c>
      <c r="E22" s="30" t="s">
        <v>980</v>
      </c>
      <c r="F22" s="30">
        <v>2010</v>
      </c>
      <c r="G22" s="30" t="s">
        <v>897</v>
      </c>
      <c r="H22" s="3" t="str">
        <f t="shared" si="0"/>
        <v>Early</v>
      </c>
    </row>
    <row r="23" spans="1:8" ht="15.5" customHeight="1">
      <c r="A23" s="30" t="s">
        <v>981</v>
      </c>
      <c r="B23" s="30" t="s">
        <v>888</v>
      </c>
      <c r="C23" s="32" t="s">
        <v>3058</v>
      </c>
      <c r="D23" s="30" t="s">
        <v>983</v>
      </c>
      <c r="E23" s="30" t="s">
        <v>984</v>
      </c>
      <c r="F23" s="30">
        <v>2017</v>
      </c>
      <c r="G23" s="30" t="s">
        <v>907</v>
      </c>
      <c r="H23" s="3" t="str">
        <f t="shared" si="0"/>
        <v>Recent</v>
      </c>
    </row>
    <row r="24" spans="1:8" ht="15.5" customHeight="1">
      <c r="A24" s="30" t="s">
        <v>985</v>
      </c>
      <c r="B24" s="30" t="s">
        <v>888</v>
      </c>
      <c r="C24" s="32" t="s">
        <v>3059</v>
      </c>
      <c r="D24" s="30" t="s">
        <v>987</v>
      </c>
      <c r="E24" s="30" t="s">
        <v>988</v>
      </c>
      <c r="F24" s="30">
        <v>2019</v>
      </c>
      <c r="G24" s="30" t="s">
        <v>897</v>
      </c>
      <c r="H24" s="3" t="str">
        <f t="shared" si="0"/>
        <v>Recent</v>
      </c>
    </row>
    <row r="25" spans="1:8" ht="15.5" customHeight="1">
      <c r="A25" s="30" t="s">
        <v>989</v>
      </c>
      <c r="B25" s="30" t="s">
        <v>888</v>
      </c>
      <c r="C25" s="32" t="s">
        <v>3060</v>
      </c>
      <c r="D25" s="30" t="s">
        <v>991</v>
      </c>
      <c r="E25" s="30" t="s">
        <v>992</v>
      </c>
      <c r="F25" s="30">
        <v>2016</v>
      </c>
      <c r="G25" s="30" t="s">
        <v>897</v>
      </c>
      <c r="H25" s="3" t="str">
        <f t="shared" si="0"/>
        <v>Recent</v>
      </c>
    </row>
  </sheetData>
  <hyperlinks>
    <hyperlink ref="C2" r:id="rId1" xr:uid="{00000000-0004-0000-0600-000000000000}"/>
    <hyperlink ref="C3" r:id="rId2" xr:uid="{00000000-0004-0000-0600-000001000000}"/>
    <hyperlink ref="C4" r:id="rId3" xr:uid="{00000000-0004-0000-0600-000002000000}"/>
    <hyperlink ref="C5" r:id="rId4" xr:uid="{00000000-0004-0000-0600-000003000000}"/>
    <hyperlink ref="C6" r:id="rId5" xr:uid="{00000000-0004-0000-0600-000004000000}"/>
    <hyperlink ref="C7" r:id="rId6" xr:uid="{00000000-0004-0000-0600-000005000000}"/>
    <hyperlink ref="C8" r:id="rId7" xr:uid="{00000000-0004-0000-0600-000006000000}"/>
    <hyperlink ref="C9" r:id="rId8" xr:uid="{00000000-0004-0000-0600-000007000000}"/>
    <hyperlink ref="C10" r:id="rId9" xr:uid="{00000000-0004-0000-0600-000008000000}"/>
    <hyperlink ref="C11" r:id="rId10" xr:uid="{00000000-0004-0000-0600-000009000000}"/>
    <hyperlink ref="C12" r:id="rId11" xr:uid="{00000000-0004-0000-0600-00000A000000}"/>
    <hyperlink ref="C13" r:id="rId12" xr:uid="{00000000-0004-0000-0600-00000B000000}"/>
    <hyperlink ref="C14" r:id="rId13" xr:uid="{00000000-0004-0000-0600-00000C000000}"/>
    <hyperlink ref="C15" r:id="rId14" xr:uid="{00000000-0004-0000-0600-00000D000000}"/>
    <hyperlink ref="C16" r:id="rId15" xr:uid="{00000000-0004-0000-0600-00000E000000}"/>
    <hyperlink ref="C17" r:id="rId16" xr:uid="{00000000-0004-0000-0600-00000F000000}"/>
    <hyperlink ref="C18" r:id="rId17" xr:uid="{00000000-0004-0000-0600-000010000000}"/>
    <hyperlink ref="C19" r:id="rId18" xr:uid="{00000000-0004-0000-0600-000011000000}"/>
    <hyperlink ref="C20" r:id="rId19" xr:uid="{00000000-0004-0000-0600-000012000000}"/>
    <hyperlink ref="C21" r:id="rId20" xr:uid="{00000000-0004-0000-0600-000013000000}"/>
    <hyperlink ref="C22" r:id="rId21" xr:uid="{00000000-0004-0000-0600-000014000000}"/>
    <hyperlink ref="C23" r:id="rId22" xr:uid="{00000000-0004-0000-0600-000015000000}"/>
    <hyperlink ref="C24" r:id="rId23" xr:uid="{00000000-0004-0000-0600-000016000000}"/>
    <hyperlink ref="C25" r:id="rId24" xr:uid="{00000000-0004-0000-0600-000017000000}"/>
  </hyperlink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83"/>
  <sheetViews>
    <sheetView topLeftCell="A35" workbookViewId="0">
      <selection activeCell="G53" sqref="G53"/>
    </sheetView>
  </sheetViews>
  <sheetFormatPr defaultColWidth="10.90625" defaultRowHeight="12.5"/>
  <cols>
    <col min="3" max="3" width="70.269531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23" t="s">
        <v>993</v>
      </c>
      <c r="B2" s="23" t="s">
        <v>994</v>
      </c>
      <c r="C2" s="34"/>
      <c r="D2" s="23" t="s">
        <v>995</v>
      </c>
      <c r="E2" s="23" t="s">
        <v>996</v>
      </c>
      <c r="F2" s="23">
        <v>2014</v>
      </c>
      <c r="G2" s="23" t="s">
        <v>997</v>
      </c>
      <c r="H2" s="3" t="str">
        <f t="shared" ref="H2:H83" si="0">IF(F2="","",
  IF(F2&lt;=PERCENTILE(IF($B:$B=B2,$F:$F),0.33),"Early",
    IF(F2&lt;=PERCENTILE(IF($B:$B=B2,$F:$F),0.67),"Middle","Recent")))</f>
        <v>Recent</v>
      </c>
    </row>
    <row r="3" spans="1:26" ht="14" customHeight="1">
      <c r="A3" s="23" t="s">
        <v>998</v>
      </c>
      <c r="B3" s="23" t="s">
        <v>994</v>
      </c>
      <c r="C3" s="35"/>
      <c r="D3" s="23" t="s">
        <v>999</v>
      </c>
      <c r="E3" s="23" t="s">
        <v>1000</v>
      </c>
      <c r="F3" s="23">
        <v>2014</v>
      </c>
      <c r="G3" s="23" t="s">
        <v>1001</v>
      </c>
      <c r="H3" s="3" t="str">
        <f t="shared" si="0"/>
        <v>Recent</v>
      </c>
    </row>
    <row r="4" spans="1:26" ht="15.75" customHeight="1">
      <c r="A4" s="36" t="s">
        <v>1002</v>
      </c>
      <c r="B4" s="36" t="s">
        <v>994</v>
      </c>
      <c r="C4" s="32" t="s">
        <v>3061</v>
      </c>
      <c r="D4" s="36" t="s">
        <v>1004</v>
      </c>
      <c r="E4" s="36" t="s">
        <v>1005</v>
      </c>
      <c r="F4" s="36">
        <v>2007</v>
      </c>
      <c r="G4" s="36" t="s">
        <v>1006</v>
      </c>
      <c r="H4" s="3" t="str">
        <f t="shared" si="0"/>
        <v>Middle</v>
      </c>
    </row>
    <row r="5" spans="1:26" ht="15.75" customHeight="1">
      <c r="A5" s="36" t="s">
        <v>1007</v>
      </c>
      <c r="B5" s="36" t="s">
        <v>994</v>
      </c>
      <c r="C5" s="32" t="s">
        <v>3062</v>
      </c>
      <c r="D5" s="36" t="s">
        <v>1009</v>
      </c>
      <c r="E5" s="36" t="s">
        <v>1005</v>
      </c>
      <c r="F5" s="36">
        <v>2009</v>
      </c>
      <c r="G5" s="36" t="s">
        <v>1010</v>
      </c>
      <c r="H5" s="3" t="str">
        <f t="shared" si="0"/>
        <v>Middle</v>
      </c>
    </row>
    <row r="6" spans="1:26" ht="15.75" customHeight="1">
      <c r="A6" s="36" t="s">
        <v>1011</v>
      </c>
      <c r="B6" s="36" t="s">
        <v>994</v>
      </c>
      <c r="C6" s="4" t="s">
        <v>3063</v>
      </c>
      <c r="D6" s="36" t="s">
        <v>1013</v>
      </c>
      <c r="E6" s="36" t="s">
        <v>1014</v>
      </c>
      <c r="F6" s="36">
        <v>2018</v>
      </c>
      <c r="G6" s="36" t="s">
        <v>1015</v>
      </c>
      <c r="H6" s="3" t="str">
        <f t="shared" si="0"/>
        <v>Recent</v>
      </c>
    </row>
    <row r="7" spans="1:26" ht="15.75" customHeight="1">
      <c r="A7" s="36" t="s">
        <v>1016</v>
      </c>
      <c r="B7" s="36" t="s">
        <v>994</v>
      </c>
      <c r="C7" s="32" t="s">
        <v>3064</v>
      </c>
      <c r="D7" s="36" t="s">
        <v>1018</v>
      </c>
      <c r="E7" s="36" t="s">
        <v>1019</v>
      </c>
      <c r="F7" s="36">
        <v>1998</v>
      </c>
      <c r="G7" s="36" t="s">
        <v>548</v>
      </c>
      <c r="H7" s="3" t="str">
        <f t="shared" si="0"/>
        <v>Early</v>
      </c>
    </row>
    <row r="8" spans="1:26" ht="15.75" customHeight="1">
      <c r="A8" s="36" t="s">
        <v>1020</v>
      </c>
      <c r="B8" s="36" t="s">
        <v>994</v>
      </c>
      <c r="C8" s="32" t="s">
        <v>3065</v>
      </c>
      <c r="D8" s="36" t="s">
        <v>1022</v>
      </c>
      <c r="E8" s="36" t="s">
        <v>1023</v>
      </c>
      <c r="F8" s="36">
        <v>2006</v>
      </c>
      <c r="G8" s="36" t="s">
        <v>1024</v>
      </c>
      <c r="H8" s="3" t="str">
        <f t="shared" si="0"/>
        <v>Middle</v>
      </c>
    </row>
    <row r="9" spans="1:26" ht="15.75" customHeight="1">
      <c r="A9" s="36" t="s">
        <v>1025</v>
      </c>
      <c r="B9" s="36" t="s">
        <v>994</v>
      </c>
      <c r="C9" s="32" t="s">
        <v>3066</v>
      </c>
      <c r="D9" s="36" t="s">
        <v>1027</v>
      </c>
      <c r="E9" s="36" t="s">
        <v>1028</v>
      </c>
      <c r="F9" s="36">
        <v>2001</v>
      </c>
      <c r="G9" s="36" t="s">
        <v>1029</v>
      </c>
      <c r="H9" s="3" t="str">
        <f t="shared" si="0"/>
        <v>Early</v>
      </c>
    </row>
    <row r="10" spans="1:26" ht="15.75" customHeight="1">
      <c r="A10" s="23" t="s">
        <v>1030</v>
      </c>
      <c r="B10" s="23" t="s">
        <v>994</v>
      </c>
      <c r="C10" s="23"/>
      <c r="D10" s="23" t="s">
        <v>1031</v>
      </c>
      <c r="E10" s="23" t="s">
        <v>1032</v>
      </c>
      <c r="F10" s="23">
        <v>1981</v>
      </c>
      <c r="G10" s="23" t="s">
        <v>1033</v>
      </c>
      <c r="H10" s="3" t="str">
        <f t="shared" si="0"/>
        <v>Early</v>
      </c>
    </row>
    <row r="11" spans="1:26" ht="15.75" customHeight="1">
      <c r="A11" s="23" t="s">
        <v>1034</v>
      </c>
      <c r="B11" s="23" t="s">
        <v>994</v>
      </c>
      <c r="C11" s="34"/>
      <c r="D11" s="23" t="s">
        <v>1035</v>
      </c>
      <c r="E11" s="23" t="s">
        <v>1032</v>
      </c>
      <c r="F11" s="23">
        <v>1983</v>
      </c>
      <c r="G11" s="23" t="s">
        <v>1036</v>
      </c>
      <c r="H11" s="3" t="str">
        <f t="shared" si="0"/>
        <v>Early</v>
      </c>
    </row>
    <row r="12" spans="1:26" ht="15.75" customHeight="1">
      <c r="A12" s="36" t="s">
        <v>1037</v>
      </c>
      <c r="B12" s="36" t="s">
        <v>994</v>
      </c>
      <c r="C12" s="32" t="s">
        <v>3067</v>
      </c>
      <c r="D12" s="36" t="s">
        <v>1039</v>
      </c>
      <c r="E12" s="36" t="s">
        <v>1040</v>
      </c>
      <c r="F12" s="36">
        <v>2013</v>
      </c>
      <c r="G12" s="36" t="s">
        <v>1041</v>
      </c>
      <c r="H12" s="3" t="str">
        <f t="shared" si="0"/>
        <v>Middle</v>
      </c>
    </row>
    <row r="13" spans="1:26" ht="15.75" customHeight="1">
      <c r="A13" s="23" t="s">
        <v>1042</v>
      </c>
      <c r="B13" s="23" t="s">
        <v>994</v>
      </c>
      <c r="C13" s="37"/>
      <c r="D13" s="23" t="s">
        <v>1043</v>
      </c>
      <c r="E13" s="23" t="s">
        <v>1044</v>
      </c>
      <c r="F13" s="23">
        <v>2017</v>
      </c>
      <c r="G13" s="23" t="s">
        <v>1045</v>
      </c>
      <c r="H13" s="3" t="str">
        <f t="shared" si="0"/>
        <v>Recent</v>
      </c>
    </row>
    <row r="14" spans="1:26" ht="15.75" customHeight="1">
      <c r="A14" s="36" t="s">
        <v>1046</v>
      </c>
      <c r="B14" s="36" t="s">
        <v>994</v>
      </c>
      <c r="C14" s="32" t="s">
        <v>3068</v>
      </c>
      <c r="D14" s="36" t="s">
        <v>1048</v>
      </c>
      <c r="E14" s="36" t="s">
        <v>1049</v>
      </c>
      <c r="F14" s="36">
        <v>1996</v>
      </c>
      <c r="G14" s="36" t="s">
        <v>1050</v>
      </c>
      <c r="H14" s="3" t="str">
        <f t="shared" si="0"/>
        <v>Early</v>
      </c>
    </row>
    <row r="15" spans="1:26" ht="15.75" customHeight="1">
      <c r="A15" s="36" t="s">
        <v>1051</v>
      </c>
      <c r="B15" s="36" t="s">
        <v>994</v>
      </c>
      <c r="C15" s="32" t="s">
        <v>3069</v>
      </c>
      <c r="D15" s="36" t="s">
        <v>1053</v>
      </c>
      <c r="E15" s="36" t="s">
        <v>1054</v>
      </c>
      <c r="F15" s="36">
        <v>2007</v>
      </c>
      <c r="G15" s="36" t="s">
        <v>259</v>
      </c>
      <c r="H15" s="3" t="str">
        <f t="shared" si="0"/>
        <v>Middle</v>
      </c>
    </row>
    <row r="16" spans="1:26" ht="15.75" customHeight="1">
      <c r="A16" s="23" t="s">
        <v>1055</v>
      </c>
      <c r="B16" s="23" t="s">
        <v>994</v>
      </c>
      <c r="C16" s="23"/>
      <c r="D16" s="23" t="s">
        <v>1056</v>
      </c>
      <c r="E16" s="23" t="s">
        <v>1057</v>
      </c>
      <c r="F16" s="23">
        <v>1994</v>
      </c>
      <c r="G16" s="23" t="s">
        <v>1058</v>
      </c>
      <c r="H16" s="3" t="str">
        <f t="shared" si="0"/>
        <v>Early</v>
      </c>
    </row>
    <row r="17" spans="1:8" ht="15.75" customHeight="1">
      <c r="A17" s="36" t="s">
        <v>1059</v>
      </c>
      <c r="B17" s="36" t="s">
        <v>994</v>
      </c>
      <c r="C17" s="32" t="s">
        <v>3070</v>
      </c>
      <c r="D17" s="36" t="s">
        <v>1061</v>
      </c>
      <c r="E17" s="36" t="s">
        <v>1062</v>
      </c>
      <c r="F17" s="36">
        <v>2010</v>
      </c>
      <c r="G17" s="36" t="s">
        <v>1063</v>
      </c>
      <c r="H17" s="3" t="str">
        <f t="shared" si="0"/>
        <v>Middle</v>
      </c>
    </row>
    <row r="18" spans="1:8" ht="15.75" customHeight="1">
      <c r="A18" s="36" t="s">
        <v>1064</v>
      </c>
      <c r="B18" s="36" t="s">
        <v>994</v>
      </c>
      <c r="C18" s="32" t="s">
        <v>3071</v>
      </c>
      <c r="D18" s="36" t="s">
        <v>1066</v>
      </c>
      <c r="E18" s="36" t="s">
        <v>1067</v>
      </c>
      <c r="F18" s="36">
        <v>2011</v>
      </c>
      <c r="G18" s="36" t="s">
        <v>1029</v>
      </c>
      <c r="H18" s="3" t="str">
        <f t="shared" si="0"/>
        <v>Middle</v>
      </c>
    </row>
    <row r="19" spans="1:8" ht="15.75" customHeight="1">
      <c r="A19" s="36" t="s">
        <v>1068</v>
      </c>
      <c r="B19" s="36" t="s">
        <v>994</v>
      </c>
      <c r="C19" s="32" t="s">
        <v>3072</v>
      </c>
      <c r="D19" s="36" t="s">
        <v>1070</v>
      </c>
      <c r="E19" s="36" t="s">
        <v>1071</v>
      </c>
      <c r="F19" s="36">
        <v>2003</v>
      </c>
      <c r="G19" s="36" t="s">
        <v>1029</v>
      </c>
      <c r="H19" s="3" t="str">
        <f t="shared" si="0"/>
        <v>Early</v>
      </c>
    </row>
    <row r="20" spans="1:8" ht="15.5" customHeight="1">
      <c r="A20" s="23" t="s">
        <v>1072</v>
      </c>
      <c r="B20" s="23" t="s">
        <v>994</v>
      </c>
      <c r="C20" s="34"/>
      <c r="D20" s="23" t="s">
        <v>1073</v>
      </c>
      <c r="E20" s="23" t="s">
        <v>1074</v>
      </c>
      <c r="F20" s="23">
        <v>1982</v>
      </c>
      <c r="G20" s="23" t="s">
        <v>1075</v>
      </c>
      <c r="H20" s="3" t="str">
        <f t="shared" si="0"/>
        <v>Early</v>
      </c>
    </row>
    <row r="21" spans="1:8" ht="15.5" customHeight="1">
      <c r="A21" s="36" t="s">
        <v>1076</v>
      </c>
      <c r="B21" s="36" t="s">
        <v>994</v>
      </c>
      <c r="C21" s="32" t="s">
        <v>3073</v>
      </c>
      <c r="D21" s="36" t="s">
        <v>1078</v>
      </c>
      <c r="E21" s="36" t="s">
        <v>1079</v>
      </c>
      <c r="F21" s="36">
        <v>2011</v>
      </c>
      <c r="G21" s="36" t="s">
        <v>1080</v>
      </c>
      <c r="H21" s="3" t="str">
        <f t="shared" si="0"/>
        <v>Middle</v>
      </c>
    </row>
    <row r="22" spans="1:8" ht="15.5" customHeight="1">
      <c r="A22" s="36" t="s">
        <v>1081</v>
      </c>
      <c r="B22" s="36" t="s">
        <v>994</v>
      </c>
      <c r="C22" s="32" t="s">
        <v>3074</v>
      </c>
      <c r="D22" s="36" t="s">
        <v>1083</v>
      </c>
      <c r="E22" s="36" t="s">
        <v>1084</v>
      </c>
      <c r="F22" s="36">
        <v>2016</v>
      </c>
      <c r="G22" s="36" t="s">
        <v>1085</v>
      </c>
      <c r="H22" s="3" t="str">
        <f t="shared" si="0"/>
        <v>Recent</v>
      </c>
    </row>
    <row r="23" spans="1:8" ht="15.5" customHeight="1">
      <c r="A23" s="36" t="s">
        <v>1086</v>
      </c>
      <c r="B23" s="36" t="s">
        <v>994</v>
      </c>
      <c r="C23" s="32" t="s">
        <v>3075</v>
      </c>
      <c r="D23" s="36" t="s">
        <v>1088</v>
      </c>
      <c r="E23" s="36" t="s">
        <v>1089</v>
      </c>
      <c r="F23" s="36">
        <v>2014</v>
      </c>
      <c r="G23" s="36" t="s">
        <v>1090</v>
      </c>
      <c r="H23" s="3" t="str">
        <f t="shared" si="0"/>
        <v>Recent</v>
      </c>
    </row>
    <row r="24" spans="1:8" ht="15.5" customHeight="1">
      <c r="A24" s="36" t="s">
        <v>1091</v>
      </c>
      <c r="B24" s="36" t="s">
        <v>994</v>
      </c>
      <c r="C24" s="32" t="s">
        <v>3076</v>
      </c>
      <c r="D24" s="36" t="s">
        <v>1093</v>
      </c>
      <c r="E24" s="36" t="s">
        <v>1089</v>
      </c>
      <c r="F24" s="36">
        <v>2015</v>
      </c>
      <c r="G24" s="36" t="s">
        <v>1094</v>
      </c>
      <c r="H24" s="3" t="str">
        <f t="shared" si="0"/>
        <v>Recent</v>
      </c>
    </row>
    <row r="25" spans="1:8" ht="15.5" customHeight="1">
      <c r="A25" s="36" t="s">
        <v>1095</v>
      </c>
      <c r="B25" s="36" t="s">
        <v>994</v>
      </c>
      <c r="C25" s="32" t="s">
        <v>3077</v>
      </c>
      <c r="D25" s="36" t="s">
        <v>1097</v>
      </c>
      <c r="E25" s="36" t="s">
        <v>1089</v>
      </c>
      <c r="F25" s="36">
        <v>2015</v>
      </c>
      <c r="G25" s="36" t="s">
        <v>1098</v>
      </c>
      <c r="H25" s="3" t="str">
        <f t="shared" si="0"/>
        <v>Recent</v>
      </c>
    </row>
    <row r="26" spans="1:8" ht="15.5" customHeight="1">
      <c r="A26" s="36" t="s">
        <v>1099</v>
      </c>
      <c r="B26" s="36" t="s">
        <v>994</v>
      </c>
      <c r="C26" s="32" t="s">
        <v>3078</v>
      </c>
      <c r="D26" s="36" t="s">
        <v>1101</v>
      </c>
      <c r="E26" s="36" t="s">
        <v>1102</v>
      </c>
      <c r="F26" s="36">
        <v>2008</v>
      </c>
      <c r="G26" s="36" t="s">
        <v>1010</v>
      </c>
      <c r="H26" s="3" t="str">
        <f t="shared" si="0"/>
        <v>Middle</v>
      </c>
    </row>
    <row r="27" spans="1:8" ht="15.5" customHeight="1">
      <c r="A27" s="36" t="s">
        <v>1103</v>
      </c>
      <c r="B27" s="36" t="s">
        <v>994</v>
      </c>
      <c r="C27" s="32" t="s">
        <v>3079</v>
      </c>
      <c r="D27" s="36" t="s">
        <v>1105</v>
      </c>
      <c r="E27" s="36" t="s">
        <v>1106</v>
      </c>
      <c r="F27" s="36">
        <v>2011</v>
      </c>
      <c r="G27" s="36" t="s">
        <v>1107</v>
      </c>
      <c r="H27" s="3" t="str">
        <f t="shared" si="0"/>
        <v>Middle</v>
      </c>
    </row>
    <row r="28" spans="1:8" ht="12.5" customHeight="1">
      <c r="A28" s="36" t="s">
        <v>1108</v>
      </c>
      <c r="B28" s="36" t="s">
        <v>994</v>
      </c>
      <c r="C28" s="4" t="s">
        <v>3080</v>
      </c>
      <c r="D28" s="36" t="s">
        <v>1110</v>
      </c>
      <c r="E28" s="36" t="s">
        <v>1111</v>
      </c>
      <c r="F28" s="36">
        <v>2015</v>
      </c>
      <c r="G28" s="36" t="s">
        <v>1112</v>
      </c>
      <c r="H28" s="3" t="str">
        <f t="shared" si="0"/>
        <v>Recent</v>
      </c>
    </row>
    <row r="29" spans="1:8" ht="15.5" customHeight="1">
      <c r="A29" s="36" t="s">
        <v>1113</v>
      </c>
      <c r="B29" s="36" t="s">
        <v>994</v>
      </c>
      <c r="C29" s="32" t="s">
        <v>3081</v>
      </c>
      <c r="D29" s="36" t="s">
        <v>1115</v>
      </c>
      <c r="E29" s="36" t="s">
        <v>1116</v>
      </c>
      <c r="F29" s="36">
        <v>2012</v>
      </c>
      <c r="G29" s="36" t="s">
        <v>1117</v>
      </c>
      <c r="H29" s="3" t="str">
        <f t="shared" si="0"/>
        <v>Middle</v>
      </c>
    </row>
    <row r="30" spans="1:8" ht="15.5" customHeight="1">
      <c r="A30" s="36" t="s">
        <v>1118</v>
      </c>
      <c r="B30" s="36" t="s">
        <v>994</v>
      </c>
      <c r="C30" s="32" t="s">
        <v>3082</v>
      </c>
      <c r="D30" s="36" t="s">
        <v>1120</v>
      </c>
      <c r="E30" s="36" t="s">
        <v>1121</v>
      </c>
      <c r="F30" s="36">
        <v>2012</v>
      </c>
      <c r="G30" s="36" t="s">
        <v>1122</v>
      </c>
      <c r="H30" s="3" t="str">
        <f t="shared" si="0"/>
        <v>Middle</v>
      </c>
    </row>
    <row r="31" spans="1:8" ht="15.5" customHeight="1">
      <c r="A31" s="36" t="s">
        <v>1123</v>
      </c>
      <c r="B31" s="36" t="s">
        <v>994</v>
      </c>
      <c r="C31" s="32" t="s">
        <v>3083</v>
      </c>
      <c r="D31" s="36" t="s">
        <v>1125</v>
      </c>
      <c r="E31" s="36" t="s">
        <v>1126</v>
      </c>
      <c r="F31" s="36">
        <v>2015</v>
      </c>
      <c r="G31" s="36" t="s">
        <v>1127</v>
      </c>
      <c r="H31" s="3" t="str">
        <f t="shared" si="0"/>
        <v>Recent</v>
      </c>
    </row>
    <row r="32" spans="1:8" ht="15.5" customHeight="1">
      <c r="A32" s="36" t="s">
        <v>1128</v>
      </c>
      <c r="B32" s="36" t="s">
        <v>994</v>
      </c>
      <c r="C32" s="38" t="s">
        <v>1129</v>
      </c>
      <c r="D32" s="36" t="s">
        <v>1130</v>
      </c>
      <c r="E32" s="36" t="s">
        <v>1126</v>
      </c>
      <c r="F32" s="36">
        <v>2018</v>
      </c>
      <c r="G32" s="36" t="s">
        <v>1131</v>
      </c>
      <c r="H32" s="3" t="str">
        <f t="shared" si="0"/>
        <v>Recent</v>
      </c>
    </row>
    <row r="33" spans="1:8" ht="15.5" customHeight="1">
      <c r="A33" s="36" t="s">
        <v>1132</v>
      </c>
      <c r="B33" s="36" t="s">
        <v>994</v>
      </c>
      <c r="C33" s="32" t="s">
        <v>3084</v>
      </c>
      <c r="D33" s="36" t="s">
        <v>1134</v>
      </c>
      <c r="E33" s="36" t="s">
        <v>1135</v>
      </c>
      <c r="F33" s="36">
        <v>2000</v>
      </c>
      <c r="G33" s="36" t="s">
        <v>1029</v>
      </c>
      <c r="H33" s="3" t="str">
        <f t="shared" si="0"/>
        <v>Early</v>
      </c>
    </row>
    <row r="34" spans="1:8" ht="15.5" customHeight="1">
      <c r="A34" s="36" t="s">
        <v>1136</v>
      </c>
      <c r="B34" s="36" t="s">
        <v>994</v>
      </c>
      <c r="C34" s="32" t="s">
        <v>3085</v>
      </c>
      <c r="D34" s="36" t="s">
        <v>1138</v>
      </c>
      <c r="E34" s="36" t="s">
        <v>1139</v>
      </c>
      <c r="F34" s="36">
        <v>1997</v>
      </c>
      <c r="G34" s="36" t="s">
        <v>1029</v>
      </c>
      <c r="H34" s="3" t="str">
        <f t="shared" si="0"/>
        <v>Early</v>
      </c>
    </row>
    <row r="35" spans="1:8" ht="12.5" customHeight="1">
      <c r="A35" s="18" t="s">
        <v>1140</v>
      </c>
      <c r="B35" s="18" t="s">
        <v>994</v>
      </c>
      <c r="C35" s="39" t="s">
        <v>1141</v>
      </c>
      <c r="D35" s="18" t="s">
        <v>1142</v>
      </c>
      <c r="E35" s="18" t="s">
        <v>1143</v>
      </c>
      <c r="F35" s="18">
        <v>2019</v>
      </c>
      <c r="G35" s="18" t="s">
        <v>1144</v>
      </c>
      <c r="H35" s="3" t="str">
        <f t="shared" si="0"/>
        <v>Recent</v>
      </c>
    </row>
    <row r="36" spans="1:8" ht="15.5" customHeight="1">
      <c r="A36" s="36" t="s">
        <v>1145</v>
      </c>
      <c r="B36" s="36" t="s">
        <v>994</v>
      </c>
      <c r="C36" s="32" t="s">
        <v>3086</v>
      </c>
      <c r="D36" s="36" t="s">
        <v>1147</v>
      </c>
      <c r="E36" s="36" t="s">
        <v>1148</v>
      </c>
      <c r="F36" s="36">
        <v>2015</v>
      </c>
      <c r="G36" s="36" t="s">
        <v>1149</v>
      </c>
      <c r="H36" s="3" t="str">
        <f t="shared" si="0"/>
        <v>Recent</v>
      </c>
    </row>
    <row r="37" spans="1:8" ht="15.5" customHeight="1">
      <c r="A37" s="36" t="s">
        <v>1150</v>
      </c>
      <c r="B37" s="36" t="s">
        <v>994</v>
      </c>
      <c r="C37" s="32" t="s">
        <v>3087</v>
      </c>
      <c r="D37" s="36" t="s">
        <v>1152</v>
      </c>
      <c r="E37" s="36" t="s">
        <v>1153</v>
      </c>
      <c r="F37" s="36">
        <v>2007</v>
      </c>
      <c r="G37" s="36" t="s">
        <v>1154</v>
      </c>
      <c r="H37" s="3" t="str">
        <f t="shared" si="0"/>
        <v>Middle</v>
      </c>
    </row>
    <row r="38" spans="1:8" ht="15.5" customHeight="1">
      <c r="A38" s="36" t="s">
        <v>1155</v>
      </c>
      <c r="B38" s="36" t="s">
        <v>994</v>
      </c>
      <c r="C38" s="32" t="s">
        <v>3088</v>
      </c>
      <c r="D38" s="36" t="s">
        <v>1157</v>
      </c>
      <c r="E38" s="36" t="s">
        <v>1153</v>
      </c>
      <c r="F38" s="36">
        <v>2008</v>
      </c>
      <c r="G38" s="36" t="s">
        <v>1158</v>
      </c>
      <c r="H38" s="3" t="str">
        <f t="shared" si="0"/>
        <v>Middle</v>
      </c>
    </row>
    <row r="39" spans="1:8" ht="12.5" customHeight="1">
      <c r="A39" s="23" t="s">
        <v>1159</v>
      </c>
      <c r="B39" s="23" t="s">
        <v>994</v>
      </c>
      <c r="C39" s="23"/>
      <c r="D39" s="23" t="s">
        <v>1160</v>
      </c>
      <c r="E39" s="23" t="s">
        <v>1161</v>
      </c>
      <c r="F39" s="23">
        <v>1998</v>
      </c>
      <c r="G39" s="23" t="s">
        <v>1162</v>
      </c>
      <c r="H39" s="3" t="str">
        <f t="shared" si="0"/>
        <v>Early</v>
      </c>
    </row>
    <row r="40" spans="1:8" ht="12.5" customHeight="1">
      <c r="A40" s="23" t="s">
        <v>1163</v>
      </c>
      <c r="B40" s="23" t="s">
        <v>994</v>
      </c>
      <c r="C40" s="23"/>
      <c r="D40" s="23" t="s">
        <v>1164</v>
      </c>
      <c r="E40" s="23" t="s">
        <v>1165</v>
      </c>
      <c r="F40" s="23">
        <v>1990</v>
      </c>
      <c r="G40" s="23" t="s">
        <v>1166</v>
      </c>
      <c r="H40" s="3" t="str">
        <f t="shared" si="0"/>
        <v>Early</v>
      </c>
    </row>
    <row r="41" spans="1:8" ht="15.5" customHeight="1">
      <c r="A41" s="36" t="s">
        <v>1167</v>
      </c>
      <c r="B41" s="36" t="s">
        <v>994</v>
      </c>
      <c r="C41" s="32" t="s">
        <v>3089</v>
      </c>
      <c r="D41" s="36" t="s">
        <v>1169</v>
      </c>
      <c r="E41" s="36" t="s">
        <v>1170</v>
      </c>
      <c r="F41" s="36">
        <v>2018</v>
      </c>
      <c r="G41" s="36" t="s">
        <v>1158</v>
      </c>
      <c r="H41" s="3" t="str">
        <f t="shared" si="0"/>
        <v>Recent</v>
      </c>
    </row>
    <row r="42" spans="1:8" ht="15.5" customHeight="1">
      <c r="A42" s="36" t="s">
        <v>1171</v>
      </c>
      <c r="B42" s="36" t="s">
        <v>994</v>
      </c>
      <c r="C42" s="32" t="s">
        <v>3090</v>
      </c>
      <c r="D42" s="36" t="s">
        <v>1173</v>
      </c>
      <c r="E42" s="36" t="s">
        <v>449</v>
      </c>
      <c r="F42" s="36">
        <v>2014</v>
      </c>
      <c r="G42" s="36" t="s">
        <v>1010</v>
      </c>
      <c r="H42" s="3" t="str">
        <f t="shared" si="0"/>
        <v>Recent</v>
      </c>
    </row>
    <row r="43" spans="1:8" ht="15.5" customHeight="1">
      <c r="A43" s="36" t="s">
        <v>1174</v>
      </c>
      <c r="B43" s="36" t="s">
        <v>994</v>
      </c>
      <c r="C43" s="32" t="s">
        <v>3091</v>
      </c>
      <c r="D43" s="36" t="s">
        <v>1176</v>
      </c>
      <c r="E43" s="36" t="s">
        <v>1177</v>
      </c>
      <c r="F43" s="36">
        <v>1994</v>
      </c>
      <c r="G43" s="36" t="s">
        <v>1178</v>
      </c>
      <c r="H43" s="3" t="str">
        <f t="shared" si="0"/>
        <v>Early</v>
      </c>
    </row>
    <row r="44" spans="1:8" ht="12.5" customHeight="1">
      <c r="A44" s="23" t="s">
        <v>1179</v>
      </c>
      <c r="B44" s="23" t="s">
        <v>994</v>
      </c>
      <c r="C44" s="23"/>
      <c r="D44" s="23" t="s">
        <v>1180</v>
      </c>
      <c r="E44" s="23" t="s">
        <v>1181</v>
      </c>
      <c r="F44" s="23">
        <v>2002</v>
      </c>
      <c r="G44" s="23" t="s">
        <v>1182</v>
      </c>
      <c r="H44" s="3" t="str">
        <f t="shared" si="0"/>
        <v>Early</v>
      </c>
    </row>
    <row r="45" spans="1:8" ht="12.5" customHeight="1">
      <c r="A45" s="23" t="s">
        <v>1183</v>
      </c>
      <c r="B45" s="23" t="s">
        <v>994</v>
      </c>
      <c r="C45" s="23"/>
      <c r="D45" s="23" t="s">
        <v>1184</v>
      </c>
      <c r="E45" s="23" t="s">
        <v>1185</v>
      </c>
      <c r="F45" s="23">
        <v>2018</v>
      </c>
      <c r="G45" s="23" t="s">
        <v>1186</v>
      </c>
      <c r="H45" s="3" t="str">
        <f t="shared" si="0"/>
        <v>Recent</v>
      </c>
    </row>
    <row r="46" spans="1:8" ht="12.5" customHeight="1">
      <c r="A46" s="23" t="s">
        <v>1187</v>
      </c>
      <c r="B46" s="23" t="s">
        <v>994</v>
      </c>
      <c r="C46" s="37"/>
      <c r="D46" s="23" t="s">
        <v>1188</v>
      </c>
      <c r="E46" s="23" t="s">
        <v>490</v>
      </c>
      <c r="F46" s="23">
        <v>2017</v>
      </c>
      <c r="G46" s="23" t="s">
        <v>1045</v>
      </c>
      <c r="H46" s="3" t="str">
        <f t="shared" si="0"/>
        <v>Recent</v>
      </c>
    </row>
    <row r="47" spans="1:8" ht="12.5" customHeight="1">
      <c r="A47" s="23" t="s">
        <v>1189</v>
      </c>
      <c r="B47" s="23" t="s">
        <v>994</v>
      </c>
      <c r="C47" s="23"/>
      <c r="D47" s="23" t="s">
        <v>1190</v>
      </c>
      <c r="E47" s="23" t="s">
        <v>1191</v>
      </c>
      <c r="F47" s="23">
        <v>2009</v>
      </c>
      <c r="G47" s="23" t="s">
        <v>1192</v>
      </c>
      <c r="H47" s="3" t="str">
        <f t="shared" si="0"/>
        <v>Middle</v>
      </c>
    </row>
    <row r="48" spans="1:8" ht="12.5" customHeight="1">
      <c r="A48" s="23" t="s">
        <v>1193</v>
      </c>
      <c r="B48" s="23" t="s">
        <v>994</v>
      </c>
      <c r="C48" s="23"/>
      <c r="D48" s="23" t="s">
        <v>1194</v>
      </c>
      <c r="E48" s="23" t="s">
        <v>1195</v>
      </c>
      <c r="F48" s="23">
        <v>1999</v>
      </c>
      <c r="G48" s="23" t="s">
        <v>1196</v>
      </c>
      <c r="H48" s="3" t="str">
        <f t="shared" si="0"/>
        <v>Early</v>
      </c>
    </row>
    <row r="49" spans="1:8" ht="12.5" customHeight="1">
      <c r="A49" s="23" t="s">
        <v>1197</v>
      </c>
      <c r="B49" s="23" t="s">
        <v>994</v>
      </c>
      <c r="C49" s="23"/>
      <c r="D49" s="23" t="s">
        <v>1198</v>
      </c>
      <c r="E49" s="23" t="s">
        <v>1195</v>
      </c>
      <c r="F49" s="23">
        <v>2004</v>
      </c>
      <c r="G49" s="23" t="s">
        <v>1199</v>
      </c>
      <c r="H49" s="3" t="str">
        <f t="shared" si="0"/>
        <v>Early</v>
      </c>
    </row>
    <row r="50" spans="1:8" ht="15.5" customHeight="1">
      <c r="A50" s="36" t="s">
        <v>1200</v>
      </c>
      <c r="B50" s="36" t="s">
        <v>994</v>
      </c>
      <c r="C50" s="32" t="s">
        <v>3092</v>
      </c>
      <c r="D50" s="36" t="s">
        <v>1202</v>
      </c>
      <c r="E50" s="36" t="s">
        <v>1203</v>
      </c>
      <c r="F50" s="36">
        <v>2005</v>
      </c>
      <c r="G50" s="36" t="s">
        <v>1090</v>
      </c>
      <c r="H50" s="3" t="str">
        <f t="shared" si="0"/>
        <v>Early</v>
      </c>
    </row>
    <row r="51" spans="1:8" ht="15.5" customHeight="1">
      <c r="A51" s="23" t="s">
        <v>1204</v>
      </c>
      <c r="B51" s="23" t="s">
        <v>994</v>
      </c>
      <c r="C51" s="34"/>
      <c r="D51" s="23" t="s">
        <v>1205</v>
      </c>
      <c r="E51" s="23" t="s">
        <v>828</v>
      </c>
      <c r="F51" s="23">
        <v>2001</v>
      </c>
      <c r="G51" s="23" t="s">
        <v>1206</v>
      </c>
      <c r="H51" s="3" t="str">
        <f t="shared" si="0"/>
        <v>Early</v>
      </c>
    </row>
    <row r="52" spans="1:8" ht="15.5" customHeight="1">
      <c r="A52" s="36" t="s">
        <v>1207</v>
      </c>
      <c r="B52" s="36" t="s">
        <v>994</v>
      </c>
      <c r="C52" s="32" t="s">
        <v>3093</v>
      </c>
      <c r="D52" s="36" t="s">
        <v>3160</v>
      </c>
      <c r="E52" s="36" t="s">
        <v>3158</v>
      </c>
      <c r="F52" s="36">
        <v>2019</v>
      </c>
      <c r="G52" s="36" t="s">
        <v>3159</v>
      </c>
      <c r="H52" s="3" t="str">
        <f t="shared" si="0"/>
        <v>Recent</v>
      </c>
    </row>
    <row r="53" spans="1:8" ht="15.5" customHeight="1">
      <c r="A53" s="23" t="s">
        <v>1209</v>
      </c>
      <c r="B53" s="23" t="s">
        <v>994</v>
      </c>
      <c r="C53" s="34"/>
      <c r="D53" s="23" t="s">
        <v>1210</v>
      </c>
      <c r="E53" s="23" t="s">
        <v>1211</v>
      </c>
      <c r="F53" s="23">
        <v>2008</v>
      </c>
      <c r="G53" s="23" t="s">
        <v>1212</v>
      </c>
      <c r="H53" s="3" t="str">
        <f t="shared" si="0"/>
        <v>Middle</v>
      </c>
    </row>
    <row r="54" spans="1:8" ht="15.5" customHeight="1">
      <c r="A54" s="36" t="s">
        <v>1213</v>
      </c>
      <c r="B54" s="36" t="s">
        <v>994</v>
      </c>
      <c r="C54" s="32" t="s">
        <v>3094</v>
      </c>
      <c r="D54" s="36" t="s">
        <v>1215</v>
      </c>
      <c r="E54" s="36" t="s">
        <v>1216</v>
      </c>
      <c r="F54" s="36">
        <v>2008</v>
      </c>
      <c r="G54" s="36" t="s">
        <v>1149</v>
      </c>
      <c r="H54" s="3" t="str">
        <f t="shared" si="0"/>
        <v>Middle</v>
      </c>
    </row>
    <row r="55" spans="1:8" ht="15.5" customHeight="1">
      <c r="A55" s="36" t="s">
        <v>1217</v>
      </c>
      <c r="B55" s="36" t="s">
        <v>994</v>
      </c>
      <c r="C55" s="32" t="s">
        <v>3095</v>
      </c>
      <c r="D55" s="36" t="s">
        <v>1219</v>
      </c>
      <c r="E55" s="36" t="s">
        <v>1220</v>
      </c>
      <c r="F55" s="36">
        <v>2012</v>
      </c>
      <c r="G55" s="36" t="s">
        <v>1221</v>
      </c>
      <c r="H55" s="3" t="str">
        <f t="shared" si="0"/>
        <v>Middle</v>
      </c>
    </row>
    <row r="56" spans="1:8" ht="15.5" customHeight="1">
      <c r="A56" s="36" t="s">
        <v>1222</v>
      </c>
      <c r="B56" s="36" t="s">
        <v>994</v>
      </c>
      <c r="C56" s="32" t="s">
        <v>3096</v>
      </c>
      <c r="D56" s="36" t="s">
        <v>1224</v>
      </c>
      <c r="E56" s="36" t="s">
        <v>1225</v>
      </c>
      <c r="F56" s="36">
        <v>2007</v>
      </c>
      <c r="G56" s="36" t="s">
        <v>1226</v>
      </c>
      <c r="H56" s="3" t="str">
        <f t="shared" si="0"/>
        <v>Middle</v>
      </c>
    </row>
    <row r="57" spans="1:8" ht="15.5" customHeight="1">
      <c r="A57" s="36" t="s">
        <v>1227</v>
      </c>
      <c r="B57" s="36" t="s">
        <v>994</v>
      </c>
      <c r="C57" s="32" t="s">
        <v>3097</v>
      </c>
      <c r="D57" s="36" t="s">
        <v>1229</v>
      </c>
      <c r="E57" s="36" t="s">
        <v>1230</v>
      </c>
      <c r="F57" s="36">
        <v>1996</v>
      </c>
      <c r="G57" s="36" t="s">
        <v>1085</v>
      </c>
      <c r="H57" s="3" t="str">
        <f t="shared" si="0"/>
        <v>Early</v>
      </c>
    </row>
    <row r="58" spans="1:8" ht="15.5" customHeight="1">
      <c r="A58" s="36" t="s">
        <v>1231</v>
      </c>
      <c r="B58" s="36" t="s">
        <v>994</v>
      </c>
      <c r="C58" s="32" t="s">
        <v>3098</v>
      </c>
      <c r="D58" s="36" t="s">
        <v>1233</v>
      </c>
      <c r="E58" s="36" t="s">
        <v>1234</v>
      </c>
      <c r="F58" s="36">
        <v>2017</v>
      </c>
      <c r="G58" s="36" t="s">
        <v>1235</v>
      </c>
      <c r="H58" s="3" t="str">
        <f t="shared" si="0"/>
        <v>Recent</v>
      </c>
    </row>
    <row r="59" spans="1:8" ht="12.5" customHeight="1">
      <c r="A59" s="23" t="s">
        <v>1236</v>
      </c>
      <c r="B59" s="23" t="s">
        <v>994</v>
      </c>
      <c r="C59" s="23"/>
      <c r="D59" s="23" t="s">
        <v>1237</v>
      </c>
      <c r="E59" s="23" t="s">
        <v>1238</v>
      </c>
      <c r="F59" s="23">
        <v>2013</v>
      </c>
      <c r="G59" s="23" t="s">
        <v>1239</v>
      </c>
      <c r="H59" s="3" t="str">
        <f t="shared" si="0"/>
        <v>Middle</v>
      </c>
    </row>
    <row r="60" spans="1:8" ht="12.5" customHeight="1">
      <c r="A60" s="23" t="s">
        <v>1240</v>
      </c>
      <c r="B60" s="23" t="s">
        <v>994</v>
      </c>
      <c r="C60" s="23"/>
      <c r="D60" s="23" t="s">
        <v>1241</v>
      </c>
      <c r="E60" s="23" t="s">
        <v>1242</v>
      </c>
      <c r="F60" s="23">
        <v>2008</v>
      </c>
      <c r="G60" s="23" t="s">
        <v>1243</v>
      </c>
      <c r="H60" s="3" t="str">
        <f t="shared" si="0"/>
        <v>Middle</v>
      </c>
    </row>
    <row r="61" spans="1:8" ht="12.5" customHeight="1">
      <c r="A61" s="36" t="s">
        <v>1244</v>
      </c>
      <c r="B61" s="36" t="s">
        <v>994</v>
      </c>
      <c r="C61" s="40" t="s">
        <v>1245</v>
      </c>
      <c r="D61" s="36" t="s">
        <v>1246</v>
      </c>
      <c r="E61" s="36" t="s">
        <v>1247</v>
      </c>
      <c r="F61" s="36">
        <v>1995</v>
      </c>
      <c r="G61" s="36" t="s">
        <v>1158</v>
      </c>
      <c r="H61" s="3" t="str">
        <f t="shared" si="0"/>
        <v>Early</v>
      </c>
    </row>
    <row r="62" spans="1:8" ht="12.5" customHeight="1">
      <c r="A62" s="36" t="s">
        <v>1248</v>
      </c>
      <c r="B62" s="36" t="s">
        <v>994</v>
      </c>
      <c r="C62" s="40" t="s">
        <v>1249</v>
      </c>
      <c r="D62" s="36" t="s">
        <v>1250</v>
      </c>
      <c r="E62" s="36" t="s">
        <v>1251</v>
      </c>
      <c r="F62" s="36">
        <v>2010</v>
      </c>
      <c r="G62" s="36" t="s">
        <v>1252</v>
      </c>
      <c r="H62" s="3" t="str">
        <f t="shared" si="0"/>
        <v>Middle</v>
      </c>
    </row>
    <row r="63" spans="1:8" ht="12.5" customHeight="1">
      <c r="A63" s="36" t="s">
        <v>1253</v>
      </c>
      <c r="B63" s="36" t="s">
        <v>994</v>
      </c>
      <c r="C63" s="40" t="s">
        <v>1254</v>
      </c>
      <c r="D63" s="36" t="s">
        <v>1255</v>
      </c>
      <c r="E63" s="36" t="s">
        <v>1256</v>
      </c>
      <c r="F63" s="36">
        <v>2012</v>
      </c>
      <c r="G63" s="36" t="s">
        <v>1149</v>
      </c>
      <c r="H63" s="3" t="str">
        <f t="shared" si="0"/>
        <v>Middle</v>
      </c>
    </row>
    <row r="64" spans="1:8" ht="12.5" customHeight="1">
      <c r="A64" s="36" t="s">
        <v>1257</v>
      </c>
      <c r="B64" s="36" t="s">
        <v>994</v>
      </c>
      <c r="C64" s="40" t="s">
        <v>1258</v>
      </c>
      <c r="D64" s="36" t="s">
        <v>1259</v>
      </c>
      <c r="E64" s="36" t="s">
        <v>1260</v>
      </c>
      <c r="F64" s="36">
        <v>2010</v>
      </c>
      <c r="G64" s="36" t="s">
        <v>1029</v>
      </c>
      <c r="H64" s="3" t="str">
        <f t="shared" si="0"/>
        <v>Middle</v>
      </c>
    </row>
    <row r="65" spans="1:8" ht="12.5" customHeight="1">
      <c r="A65" s="36" t="s">
        <v>1261</v>
      </c>
      <c r="B65" s="36" t="s">
        <v>994</v>
      </c>
      <c r="C65" s="40" t="s">
        <v>1262</v>
      </c>
      <c r="D65" s="36" t="s">
        <v>1263</v>
      </c>
      <c r="E65" s="36" t="s">
        <v>1264</v>
      </c>
      <c r="F65" s="36">
        <v>2002</v>
      </c>
      <c r="G65" s="36" t="s">
        <v>1158</v>
      </c>
      <c r="H65" s="3" t="str">
        <f t="shared" si="0"/>
        <v>Early</v>
      </c>
    </row>
    <row r="66" spans="1:8" ht="12.5" customHeight="1">
      <c r="A66" s="36" t="s">
        <v>1265</v>
      </c>
      <c r="B66" s="36" t="s">
        <v>994</v>
      </c>
      <c r="C66" s="40" t="s">
        <v>1266</v>
      </c>
      <c r="D66" s="36" t="s">
        <v>1267</v>
      </c>
      <c r="E66" s="36" t="s">
        <v>1264</v>
      </c>
      <c r="F66" s="36">
        <v>2002</v>
      </c>
      <c r="G66" s="36" t="s">
        <v>1158</v>
      </c>
      <c r="H66" s="3" t="str">
        <f t="shared" si="0"/>
        <v>Early</v>
      </c>
    </row>
    <row r="67" spans="1:8" ht="12.5" customHeight="1">
      <c r="A67" s="36" t="s">
        <v>1268</v>
      </c>
      <c r="B67" s="36" t="s">
        <v>994</v>
      </c>
      <c r="C67" s="40" t="s">
        <v>1269</v>
      </c>
      <c r="D67" s="36" t="s">
        <v>1270</v>
      </c>
      <c r="E67" s="36" t="s">
        <v>1271</v>
      </c>
      <c r="F67" s="36">
        <v>2005</v>
      </c>
      <c r="G67" s="36" t="s">
        <v>317</v>
      </c>
      <c r="H67" s="3" t="str">
        <f t="shared" si="0"/>
        <v>Early</v>
      </c>
    </row>
    <row r="68" spans="1:8" ht="12.5" customHeight="1">
      <c r="A68" s="36" t="s">
        <v>1272</v>
      </c>
      <c r="B68" s="36" t="s">
        <v>994</v>
      </c>
      <c r="C68" s="40" t="s">
        <v>1273</v>
      </c>
      <c r="D68" s="36" t="s">
        <v>1274</v>
      </c>
      <c r="E68" s="36" t="s">
        <v>1275</v>
      </c>
      <c r="F68" s="36">
        <v>2018</v>
      </c>
      <c r="G68" s="36" t="s">
        <v>1131</v>
      </c>
      <c r="H68" s="3" t="str">
        <f t="shared" si="0"/>
        <v>Recent</v>
      </c>
    </row>
    <row r="69" spans="1:8" ht="12.5" customHeight="1">
      <c r="A69" s="36" t="s">
        <v>1276</v>
      </c>
      <c r="B69" s="36" t="s">
        <v>994</v>
      </c>
      <c r="C69" s="40" t="s">
        <v>1277</v>
      </c>
      <c r="D69" s="36" t="s">
        <v>1278</v>
      </c>
      <c r="E69" s="36" t="s">
        <v>1279</v>
      </c>
      <c r="F69" s="36">
        <v>1997</v>
      </c>
      <c r="G69" s="36" t="s">
        <v>1090</v>
      </c>
      <c r="H69" s="3" t="str">
        <f t="shared" si="0"/>
        <v>Early</v>
      </c>
    </row>
    <row r="70" spans="1:8" ht="12.5" customHeight="1">
      <c r="A70" s="36" t="s">
        <v>1280</v>
      </c>
      <c r="B70" s="36" t="s">
        <v>994</v>
      </c>
      <c r="C70" s="40" t="s">
        <v>1281</v>
      </c>
      <c r="D70" s="36" t="s">
        <v>1282</v>
      </c>
      <c r="E70" s="36" t="s">
        <v>1279</v>
      </c>
      <c r="F70" s="36">
        <v>1997</v>
      </c>
      <c r="G70" s="36" t="s">
        <v>1158</v>
      </c>
      <c r="H70" s="3" t="str">
        <f t="shared" si="0"/>
        <v>Early</v>
      </c>
    </row>
    <row r="71" spans="1:8" ht="12.5" customHeight="1">
      <c r="A71" s="36" t="s">
        <v>1283</v>
      </c>
      <c r="B71" s="36" t="s">
        <v>994</v>
      </c>
      <c r="C71" s="40" t="s">
        <v>1284</v>
      </c>
      <c r="D71" s="36" t="s">
        <v>1285</v>
      </c>
      <c r="E71" s="36" t="s">
        <v>1279</v>
      </c>
      <c r="F71" s="36">
        <v>1997</v>
      </c>
      <c r="G71" s="36" t="s">
        <v>1029</v>
      </c>
      <c r="H71" s="3" t="str">
        <f t="shared" si="0"/>
        <v>Early</v>
      </c>
    </row>
    <row r="72" spans="1:8" ht="12.5" customHeight="1">
      <c r="A72" s="36" t="s">
        <v>1286</v>
      </c>
      <c r="B72" s="36" t="s">
        <v>994</v>
      </c>
      <c r="C72" s="40" t="s">
        <v>1287</v>
      </c>
      <c r="D72" s="36" t="s">
        <v>1288</v>
      </c>
      <c r="E72" s="36" t="s">
        <v>1289</v>
      </c>
      <c r="F72" s="36">
        <v>2013</v>
      </c>
      <c r="G72" s="36" t="s">
        <v>1290</v>
      </c>
      <c r="H72" s="3" t="str">
        <f t="shared" si="0"/>
        <v>Middle</v>
      </c>
    </row>
    <row r="73" spans="1:8" ht="12.5" customHeight="1">
      <c r="A73" s="36" t="s">
        <v>1291</v>
      </c>
      <c r="B73" s="36" t="s">
        <v>994</v>
      </c>
      <c r="C73" s="40" t="s">
        <v>1292</v>
      </c>
      <c r="D73" s="36" t="s">
        <v>1293</v>
      </c>
      <c r="E73" s="36" t="s">
        <v>1294</v>
      </c>
      <c r="F73" s="36">
        <v>2017</v>
      </c>
      <c r="G73" s="36" t="s">
        <v>1295</v>
      </c>
      <c r="H73" s="3" t="str">
        <f t="shared" si="0"/>
        <v>Recent</v>
      </c>
    </row>
    <row r="74" spans="1:8" ht="12.5" customHeight="1">
      <c r="A74" s="36" t="s">
        <v>1296</v>
      </c>
      <c r="B74" s="36" t="s">
        <v>994</v>
      </c>
      <c r="C74" s="40" t="s">
        <v>1297</v>
      </c>
      <c r="D74" s="36" t="s">
        <v>1298</v>
      </c>
      <c r="E74" s="36" t="s">
        <v>1299</v>
      </c>
      <c r="F74" s="36">
        <v>2019</v>
      </c>
      <c r="G74" s="36" t="s">
        <v>1098</v>
      </c>
      <c r="H74" s="3" t="str">
        <f t="shared" si="0"/>
        <v>Recent</v>
      </c>
    </row>
    <row r="75" spans="1:8" ht="12.5" customHeight="1">
      <c r="A75" s="36" t="s">
        <v>1300</v>
      </c>
      <c r="B75" s="36" t="s">
        <v>994</v>
      </c>
      <c r="C75" s="40" t="s">
        <v>1301</v>
      </c>
      <c r="D75" s="36" t="s">
        <v>1302</v>
      </c>
      <c r="E75" s="36" t="s">
        <v>1303</v>
      </c>
      <c r="F75" s="36">
        <v>2006</v>
      </c>
      <c r="G75" s="36" t="s">
        <v>1122</v>
      </c>
      <c r="H75" s="3" t="str">
        <f t="shared" si="0"/>
        <v>Middle</v>
      </c>
    </row>
    <row r="76" spans="1:8" ht="12.5" customHeight="1">
      <c r="A76" s="36" t="s">
        <v>1304</v>
      </c>
      <c r="B76" s="36" t="s">
        <v>994</v>
      </c>
      <c r="C76" s="40" t="s">
        <v>1305</v>
      </c>
      <c r="D76" s="36" t="s">
        <v>1306</v>
      </c>
      <c r="E76" s="36" t="s">
        <v>1303</v>
      </c>
      <c r="F76" s="36">
        <v>2019</v>
      </c>
      <c r="G76" s="36" t="s">
        <v>1158</v>
      </c>
      <c r="H76" s="3" t="str">
        <f t="shared" si="0"/>
        <v>Recent</v>
      </c>
    </row>
    <row r="77" spans="1:8" ht="12.5" customHeight="1">
      <c r="A77" s="36" t="s">
        <v>1307</v>
      </c>
      <c r="B77" s="36" t="s">
        <v>994</v>
      </c>
      <c r="C77" s="40" t="s">
        <v>1308</v>
      </c>
      <c r="D77" s="36" t="s">
        <v>1309</v>
      </c>
      <c r="E77" s="36" t="s">
        <v>1310</v>
      </c>
      <c r="F77" s="36">
        <v>2009</v>
      </c>
      <c r="G77" s="36" t="s">
        <v>1311</v>
      </c>
      <c r="H77" s="3" t="str">
        <f t="shared" si="0"/>
        <v>Middle</v>
      </c>
    </row>
    <row r="78" spans="1:8" ht="12.5" customHeight="1">
      <c r="A78" s="23" t="s">
        <v>1312</v>
      </c>
      <c r="B78" s="23" t="s">
        <v>994</v>
      </c>
      <c r="C78" s="23"/>
      <c r="D78" s="23" t="s">
        <v>1313</v>
      </c>
      <c r="E78" s="23" t="s">
        <v>1314</v>
      </c>
      <c r="F78" s="23">
        <v>2001</v>
      </c>
      <c r="G78" s="23" t="s">
        <v>1315</v>
      </c>
      <c r="H78" s="3" t="str">
        <f t="shared" si="0"/>
        <v>Early</v>
      </c>
    </row>
    <row r="79" spans="1:8" ht="12.5" customHeight="1">
      <c r="A79" s="36" t="s">
        <v>1316</v>
      </c>
      <c r="B79" s="36" t="s">
        <v>994</v>
      </c>
      <c r="C79" s="40" t="s">
        <v>1317</v>
      </c>
      <c r="D79" s="36" t="s">
        <v>1318</v>
      </c>
      <c r="E79" s="36" t="s">
        <v>1319</v>
      </c>
      <c r="F79" s="36">
        <v>2018</v>
      </c>
      <c r="G79" s="36" t="s">
        <v>1015</v>
      </c>
      <c r="H79" s="3" t="str">
        <f t="shared" si="0"/>
        <v>Recent</v>
      </c>
    </row>
    <row r="80" spans="1:8" ht="12.5" customHeight="1">
      <c r="A80" s="36" t="s">
        <v>1320</v>
      </c>
      <c r="B80" s="36" t="s">
        <v>994</v>
      </c>
      <c r="C80" s="40" t="s">
        <v>1321</v>
      </c>
      <c r="D80" s="36" t="s">
        <v>1322</v>
      </c>
      <c r="E80" s="36" t="s">
        <v>1323</v>
      </c>
      <c r="F80" s="36">
        <v>2007</v>
      </c>
      <c r="G80" s="36" t="s">
        <v>1090</v>
      </c>
      <c r="H80" s="3" t="str">
        <f t="shared" si="0"/>
        <v>Middle</v>
      </c>
    </row>
    <row r="81" spans="1:8" ht="12.5" customHeight="1">
      <c r="A81" s="23" t="s">
        <v>1324</v>
      </c>
      <c r="B81" s="23" t="s">
        <v>994</v>
      </c>
      <c r="C81" s="23"/>
      <c r="D81" s="23" t="s">
        <v>1325</v>
      </c>
      <c r="E81" s="23" t="s">
        <v>1326</v>
      </c>
      <c r="F81" s="23">
        <v>2006</v>
      </c>
      <c r="G81" s="23" t="s">
        <v>589</v>
      </c>
      <c r="H81" s="3" t="str">
        <f t="shared" si="0"/>
        <v>Middle</v>
      </c>
    </row>
    <row r="82" spans="1:8" ht="12.5" customHeight="1">
      <c r="A82" s="36" t="s">
        <v>1327</v>
      </c>
      <c r="B82" s="36" t="s">
        <v>994</v>
      </c>
      <c r="C82" s="40" t="s">
        <v>1328</v>
      </c>
      <c r="D82" s="36" t="s">
        <v>1329</v>
      </c>
      <c r="E82" s="36" t="s">
        <v>1330</v>
      </c>
      <c r="F82" s="36">
        <v>1989</v>
      </c>
      <c r="G82" s="36" t="s">
        <v>1226</v>
      </c>
      <c r="H82" s="3" t="str">
        <f t="shared" si="0"/>
        <v>Early</v>
      </c>
    </row>
    <row r="83" spans="1:8" ht="12.5" customHeight="1">
      <c r="A83" s="36" t="s">
        <v>1331</v>
      </c>
      <c r="B83" s="36" t="s">
        <v>994</v>
      </c>
      <c r="C83" s="40" t="s">
        <v>1332</v>
      </c>
      <c r="D83" s="36" t="s">
        <v>1333</v>
      </c>
      <c r="E83" s="36" t="s">
        <v>1334</v>
      </c>
      <c r="F83" s="36">
        <v>2013</v>
      </c>
      <c r="G83" s="36" t="s">
        <v>1335</v>
      </c>
      <c r="H83" s="3" t="str">
        <f t="shared" si="0"/>
        <v>Middle</v>
      </c>
    </row>
  </sheetData>
  <hyperlinks>
    <hyperlink ref="C4" r:id="rId1" xr:uid="{00000000-0004-0000-0700-000000000000}"/>
    <hyperlink ref="C5" r:id="rId2" xr:uid="{00000000-0004-0000-0700-000001000000}"/>
    <hyperlink ref="C6" r:id="rId3" xr:uid="{00000000-0004-0000-0700-000002000000}"/>
    <hyperlink ref="C7" r:id="rId4" xr:uid="{00000000-0004-0000-0700-000003000000}"/>
    <hyperlink ref="C8" r:id="rId5" xr:uid="{00000000-0004-0000-0700-000004000000}"/>
    <hyperlink ref="C9" r:id="rId6" xr:uid="{00000000-0004-0000-0700-000005000000}"/>
    <hyperlink ref="C12" r:id="rId7" xr:uid="{00000000-0004-0000-0700-000006000000}"/>
    <hyperlink ref="C14" r:id="rId8" xr:uid="{00000000-0004-0000-0700-000007000000}"/>
    <hyperlink ref="C15" r:id="rId9" xr:uid="{00000000-0004-0000-0700-000008000000}"/>
    <hyperlink ref="C17" r:id="rId10" xr:uid="{00000000-0004-0000-0700-000009000000}"/>
    <hyperlink ref="C18" r:id="rId11" xr:uid="{00000000-0004-0000-0700-00000A000000}"/>
    <hyperlink ref="C19" r:id="rId12" xr:uid="{00000000-0004-0000-0700-00000B000000}"/>
    <hyperlink ref="C21" r:id="rId13" xr:uid="{00000000-0004-0000-0700-00000C000000}"/>
    <hyperlink ref="C22" r:id="rId14" xr:uid="{00000000-0004-0000-0700-00000D000000}"/>
    <hyperlink ref="C23" r:id="rId15" xr:uid="{00000000-0004-0000-0700-00000E000000}"/>
    <hyperlink ref="C24" r:id="rId16" xr:uid="{00000000-0004-0000-0700-00000F000000}"/>
    <hyperlink ref="C25" r:id="rId17" xr:uid="{00000000-0004-0000-0700-000010000000}"/>
    <hyperlink ref="C26" r:id="rId18" xr:uid="{00000000-0004-0000-0700-000011000000}"/>
    <hyperlink ref="C27" r:id="rId19" xr:uid="{00000000-0004-0000-0700-000012000000}"/>
    <hyperlink ref="C28" r:id="rId20" xr:uid="{00000000-0004-0000-0700-000013000000}"/>
    <hyperlink ref="C29" r:id="rId21" xr:uid="{00000000-0004-0000-0700-000014000000}"/>
    <hyperlink ref="C30" r:id="rId22" xr:uid="{00000000-0004-0000-0700-000015000000}"/>
    <hyperlink ref="C31" r:id="rId23" xr:uid="{00000000-0004-0000-0700-000016000000}"/>
    <hyperlink ref="C33" r:id="rId24" xr:uid="{00000000-0004-0000-0700-000017000000}"/>
    <hyperlink ref="C34" r:id="rId25" xr:uid="{00000000-0004-0000-0700-000018000000}"/>
    <hyperlink ref="C35" r:id="rId26" xr:uid="{00000000-0004-0000-0700-000019000000}"/>
    <hyperlink ref="C36" r:id="rId27" xr:uid="{00000000-0004-0000-0700-00001A000000}"/>
    <hyperlink ref="C37" r:id="rId28" xr:uid="{00000000-0004-0000-0700-00001B000000}"/>
    <hyperlink ref="C38" r:id="rId29" xr:uid="{00000000-0004-0000-0700-00001C000000}"/>
    <hyperlink ref="C41" r:id="rId30" xr:uid="{00000000-0004-0000-0700-00001D000000}"/>
    <hyperlink ref="C42" r:id="rId31" xr:uid="{00000000-0004-0000-0700-00001E000000}"/>
    <hyperlink ref="C43" r:id="rId32" xr:uid="{00000000-0004-0000-0700-00001F000000}"/>
    <hyperlink ref="C50" r:id="rId33" xr:uid="{00000000-0004-0000-0700-000020000000}"/>
    <hyperlink ref="C52" r:id="rId34" xr:uid="{00000000-0004-0000-0700-000021000000}"/>
    <hyperlink ref="C54" r:id="rId35" xr:uid="{00000000-0004-0000-0700-000022000000}"/>
    <hyperlink ref="C55" r:id="rId36" xr:uid="{00000000-0004-0000-0700-000023000000}"/>
    <hyperlink ref="C56" r:id="rId37" xr:uid="{00000000-0004-0000-0700-000024000000}"/>
    <hyperlink ref="C57" r:id="rId38" xr:uid="{00000000-0004-0000-0700-000025000000}"/>
    <hyperlink ref="C58" r:id="rId39" xr:uid="{00000000-0004-0000-0700-000026000000}"/>
    <hyperlink ref="C61" r:id="rId40" xr:uid="{00000000-0004-0000-0700-000027000000}"/>
    <hyperlink ref="C62" r:id="rId41" xr:uid="{00000000-0004-0000-0700-000028000000}"/>
    <hyperlink ref="C63" r:id="rId42" xr:uid="{00000000-0004-0000-0700-000029000000}"/>
    <hyperlink ref="C64" r:id="rId43" xr:uid="{00000000-0004-0000-0700-00002A000000}"/>
    <hyperlink ref="C65" r:id="rId44" xr:uid="{00000000-0004-0000-0700-00002B000000}"/>
    <hyperlink ref="C66" r:id="rId45" xr:uid="{00000000-0004-0000-0700-00002C000000}"/>
    <hyperlink ref="C67" r:id="rId46" xr:uid="{00000000-0004-0000-0700-00002D000000}"/>
    <hyperlink ref="C68" r:id="rId47" xr:uid="{00000000-0004-0000-0700-00002E000000}"/>
    <hyperlink ref="C69" r:id="rId48" xr:uid="{00000000-0004-0000-0700-00002F000000}"/>
    <hyperlink ref="C70" r:id="rId49" xr:uid="{00000000-0004-0000-0700-000030000000}"/>
    <hyperlink ref="C71" r:id="rId50" xr:uid="{00000000-0004-0000-0700-000031000000}"/>
    <hyperlink ref="C72" r:id="rId51" xr:uid="{00000000-0004-0000-0700-000032000000}"/>
    <hyperlink ref="C73" r:id="rId52" xr:uid="{00000000-0004-0000-0700-000033000000}"/>
    <hyperlink ref="C74" r:id="rId53" xr:uid="{00000000-0004-0000-0700-000034000000}"/>
    <hyperlink ref="C75" r:id="rId54" xr:uid="{00000000-0004-0000-0700-000035000000}"/>
    <hyperlink ref="C76" r:id="rId55" xr:uid="{00000000-0004-0000-0700-000036000000}"/>
    <hyperlink ref="C77" r:id="rId56" xr:uid="{00000000-0004-0000-0700-000037000000}"/>
    <hyperlink ref="C79" r:id="rId57" xr:uid="{00000000-0004-0000-0700-000038000000}"/>
    <hyperlink ref="C80" r:id="rId58" xr:uid="{00000000-0004-0000-0700-000039000000}"/>
    <hyperlink ref="C82" r:id="rId59" xr:uid="{00000000-0004-0000-0700-00003A000000}"/>
    <hyperlink ref="C83" r:id="rId60" xr:uid="{00000000-0004-0000-0700-00003B000000}"/>
  </hyperlink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35"/>
  <sheetViews>
    <sheetView workbookViewId="0"/>
  </sheetViews>
  <sheetFormatPr defaultColWidth="10.90625" defaultRowHeight="12.5"/>
  <cols>
    <col min="3" max="3" width="68.269531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41" t="s">
        <v>1336</v>
      </c>
      <c r="B2" s="41" t="s">
        <v>1337</v>
      </c>
      <c r="C2" s="42" t="s">
        <v>1338</v>
      </c>
      <c r="D2" s="41" t="s">
        <v>1339</v>
      </c>
      <c r="E2" s="41" t="s">
        <v>1340</v>
      </c>
      <c r="F2" s="41">
        <v>1987</v>
      </c>
      <c r="G2" s="41" t="s">
        <v>259</v>
      </c>
      <c r="H2" s="3" t="str">
        <f t="shared" ref="H2:H35" si="0">IF(F2="","",
  IF(F2&lt;=PERCENTILE(IF($B:$B=B2,$F:$F),0.33),"Early",
    IF(F2&lt;=PERCENTILE(IF($B:$B=B2,$F:$F),0.67),"Middle","Recent")))</f>
        <v>Early</v>
      </c>
    </row>
    <row r="3" spans="1:26" ht="15.75" customHeight="1">
      <c r="A3" s="41" t="s">
        <v>1341</v>
      </c>
      <c r="B3" s="41" t="s">
        <v>1337</v>
      </c>
      <c r="C3" s="42" t="s">
        <v>1342</v>
      </c>
      <c r="D3" s="41" t="s">
        <v>1343</v>
      </c>
      <c r="E3" s="41" t="s">
        <v>1344</v>
      </c>
      <c r="F3" s="41">
        <v>2017</v>
      </c>
      <c r="G3" s="41" t="s">
        <v>1345</v>
      </c>
      <c r="H3" s="3" t="str">
        <f t="shared" si="0"/>
        <v>Recent</v>
      </c>
    </row>
    <row r="4" spans="1:26" ht="15.75" customHeight="1">
      <c r="A4" s="41" t="s">
        <v>1346</v>
      </c>
      <c r="B4" s="41" t="s">
        <v>1337</v>
      </c>
      <c r="C4" s="42" t="s">
        <v>1347</v>
      </c>
      <c r="D4" s="41" t="s">
        <v>1348</v>
      </c>
      <c r="E4" s="41" t="s">
        <v>1349</v>
      </c>
      <c r="F4" s="41">
        <v>1989</v>
      </c>
      <c r="G4" s="41" t="s">
        <v>1350</v>
      </c>
      <c r="H4" s="3" t="str">
        <f t="shared" si="0"/>
        <v>Early</v>
      </c>
    </row>
    <row r="5" spans="1:26" ht="15.75" customHeight="1">
      <c r="A5" s="41" t="s">
        <v>1351</v>
      </c>
      <c r="B5" s="41" t="s">
        <v>1337</v>
      </c>
      <c r="C5" s="42" t="s">
        <v>1352</v>
      </c>
      <c r="D5" s="41" t="s">
        <v>1353</v>
      </c>
      <c r="E5" s="41" t="s">
        <v>1354</v>
      </c>
      <c r="F5" s="41">
        <v>2014</v>
      </c>
      <c r="G5" s="41" t="s">
        <v>1350</v>
      </c>
      <c r="H5" s="3" t="str">
        <f t="shared" si="0"/>
        <v>Recent</v>
      </c>
    </row>
    <row r="6" spans="1:26" ht="15.75" customHeight="1">
      <c r="A6" s="23" t="s">
        <v>1355</v>
      </c>
      <c r="B6" s="23" t="s">
        <v>1337</v>
      </c>
      <c r="C6" s="23"/>
      <c r="D6" s="23" t="s">
        <v>1356</v>
      </c>
      <c r="E6" s="23" t="s">
        <v>1357</v>
      </c>
      <c r="F6" s="23">
        <v>1982</v>
      </c>
      <c r="G6" s="23" t="s">
        <v>1358</v>
      </c>
      <c r="H6" s="3" t="str">
        <f t="shared" si="0"/>
        <v>Early</v>
      </c>
    </row>
    <row r="7" spans="1:26" ht="15.75" customHeight="1">
      <c r="A7" s="41" t="s">
        <v>1359</v>
      </c>
      <c r="B7" s="41" t="s">
        <v>1337</v>
      </c>
      <c r="C7" s="42" t="s">
        <v>1360</v>
      </c>
      <c r="D7" s="41" t="s">
        <v>1361</v>
      </c>
      <c r="E7" s="41" t="s">
        <v>1362</v>
      </c>
      <c r="F7" s="41">
        <v>2000</v>
      </c>
      <c r="G7" s="41" t="s">
        <v>1363</v>
      </c>
      <c r="H7" s="3" t="str">
        <f t="shared" si="0"/>
        <v>Middle</v>
      </c>
    </row>
    <row r="8" spans="1:26" ht="15.75" customHeight="1">
      <c r="A8" s="41" t="s">
        <v>1364</v>
      </c>
      <c r="B8" s="41" t="s">
        <v>1337</v>
      </c>
      <c r="C8" s="42" t="s">
        <v>1365</v>
      </c>
      <c r="D8" s="41" t="s">
        <v>1366</v>
      </c>
      <c r="E8" s="41" t="s">
        <v>1367</v>
      </c>
      <c r="F8" s="41">
        <v>2003</v>
      </c>
      <c r="G8" s="41" t="s">
        <v>1368</v>
      </c>
      <c r="H8" s="3" t="str">
        <f t="shared" si="0"/>
        <v>Middle</v>
      </c>
    </row>
    <row r="9" spans="1:26" ht="15.75" customHeight="1">
      <c r="A9" s="23" t="s">
        <v>1369</v>
      </c>
      <c r="B9" s="23" t="s">
        <v>1337</v>
      </c>
      <c r="C9" s="23"/>
      <c r="D9" s="23" t="s">
        <v>1370</v>
      </c>
      <c r="E9" s="23" t="s">
        <v>1371</v>
      </c>
      <c r="F9" s="23">
        <v>1992</v>
      </c>
      <c r="G9" s="23" t="s">
        <v>1372</v>
      </c>
      <c r="H9" s="3" t="str">
        <f t="shared" si="0"/>
        <v>Middle</v>
      </c>
    </row>
    <row r="10" spans="1:26" ht="15.75" customHeight="1">
      <c r="A10" s="41" t="s">
        <v>1373</v>
      </c>
      <c r="B10" s="41" t="s">
        <v>1337</v>
      </c>
      <c r="C10" s="42" t="s">
        <v>1374</v>
      </c>
      <c r="D10" s="41" t="s">
        <v>1375</v>
      </c>
      <c r="E10" s="41" t="s">
        <v>1376</v>
      </c>
      <c r="F10" s="41">
        <v>1975</v>
      </c>
      <c r="G10" s="41" t="s">
        <v>668</v>
      </c>
      <c r="H10" s="3" t="str">
        <f t="shared" si="0"/>
        <v>Early</v>
      </c>
    </row>
    <row r="11" spans="1:26" ht="15.75" customHeight="1">
      <c r="A11" s="41" t="s">
        <v>1377</v>
      </c>
      <c r="B11" s="41" t="s">
        <v>1337</v>
      </c>
      <c r="C11" s="42" t="s">
        <v>1378</v>
      </c>
      <c r="D11" s="41" t="s">
        <v>1379</v>
      </c>
      <c r="E11" s="41" t="s">
        <v>1380</v>
      </c>
      <c r="F11" s="41">
        <v>1987</v>
      </c>
      <c r="G11" s="41" t="s">
        <v>1381</v>
      </c>
      <c r="H11" s="3" t="str">
        <f t="shared" si="0"/>
        <v>Early</v>
      </c>
    </row>
    <row r="12" spans="1:26" ht="15.75" customHeight="1">
      <c r="A12" s="41" t="s">
        <v>1382</v>
      </c>
      <c r="B12" s="41" t="s">
        <v>1337</v>
      </c>
      <c r="C12" s="42" t="s">
        <v>1383</v>
      </c>
      <c r="D12" s="41" t="s">
        <v>1384</v>
      </c>
      <c r="E12" s="41" t="s">
        <v>1385</v>
      </c>
      <c r="F12" s="41">
        <v>1989</v>
      </c>
      <c r="G12" s="41" t="s">
        <v>1386</v>
      </c>
      <c r="H12" s="3" t="str">
        <f t="shared" si="0"/>
        <v>Early</v>
      </c>
    </row>
    <row r="13" spans="1:26" ht="15.75" customHeight="1">
      <c r="A13" s="41" t="s">
        <v>1387</v>
      </c>
      <c r="B13" s="41" t="s">
        <v>1337</v>
      </c>
      <c r="C13" s="42" t="s">
        <v>1388</v>
      </c>
      <c r="D13" s="41" t="s">
        <v>1389</v>
      </c>
      <c r="E13" s="41" t="s">
        <v>1390</v>
      </c>
      <c r="F13" s="41">
        <v>2005</v>
      </c>
      <c r="G13" s="41" t="s">
        <v>1368</v>
      </c>
      <c r="H13" s="3" t="str">
        <f t="shared" si="0"/>
        <v>Middle</v>
      </c>
    </row>
    <row r="14" spans="1:26" ht="15.75" customHeight="1">
      <c r="A14" s="41" t="s">
        <v>1391</v>
      </c>
      <c r="B14" s="41" t="s">
        <v>1337</v>
      </c>
      <c r="C14" s="42" t="s">
        <v>1392</v>
      </c>
      <c r="D14" s="41" t="s">
        <v>1393</v>
      </c>
      <c r="E14" s="41" t="s">
        <v>1394</v>
      </c>
      <c r="F14" s="41">
        <v>2018</v>
      </c>
      <c r="G14" s="41" t="s">
        <v>1131</v>
      </c>
      <c r="H14" s="3" t="str">
        <f t="shared" si="0"/>
        <v>Recent</v>
      </c>
    </row>
    <row r="15" spans="1:26" ht="15.75" customHeight="1">
      <c r="A15" s="41" t="s">
        <v>1395</v>
      </c>
      <c r="B15" s="41" t="s">
        <v>1337</v>
      </c>
      <c r="C15" s="42" t="s">
        <v>1396</v>
      </c>
      <c r="D15" s="41" t="s">
        <v>1397</v>
      </c>
      <c r="E15" s="41" t="s">
        <v>1398</v>
      </c>
      <c r="F15" s="41">
        <v>1992</v>
      </c>
      <c r="G15" s="41" t="s">
        <v>1131</v>
      </c>
      <c r="H15" s="3" t="str">
        <f t="shared" si="0"/>
        <v>Middle</v>
      </c>
    </row>
    <row r="16" spans="1:26" ht="15.75" customHeight="1">
      <c r="A16" s="41" t="s">
        <v>1399</v>
      </c>
      <c r="B16" s="41" t="s">
        <v>1337</v>
      </c>
      <c r="C16" s="42" t="s">
        <v>1400</v>
      </c>
      <c r="D16" s="41" t="s">
        <v>1401</v>
      </c>
      <c r="E16" s="41" t="s">
        <v>1402</v>
      </c>
      <c r="F16" s="41">
        <v>2007</v>
      </c>
      <c r="G16" s="41" t="s">
        <v>1403</v>
      </c>
      <c r="H16" s="3" t="str">
        <f t="shared" si="0"/>
        <v>Recent</v>
      </c>
    </row>
    <row r="17" spans="1:8" ht="15.75" customHeight="1">
      <c r="A17" s="41" t="s">
        <v>1404</v>
      </c>
      <c r="B17" s="41" t="s">
        <v>1337</v>
      </c>
      <c r="C17" s="42" t="s">
        <v>1405</v>
      </c>
      <c r="D17" s="41" t="s">
        <v>1406</v>
      </c>
      <c r="E17" s="41" t="s">
        <v>1407</v>
      </c>
      <c r="F17" s="41">
        <v>1969</v>
      </c>
      <c r="G17" s="41" t="s">
        <v>1408</v>
      </c>
      <c r="H17" s="3" t="str">
        <f t="shared" si="0"/>
        <v>Early</v>
      </c>
    </row>
    <row r="18" spans="1:8" ht="15.75" customHeight="1">
      <c r="A18" s="41" t="s">
        <v>1409</v>
      </c>
      <c r="B18" s="41" t="s">
        <v>1337</v>
      </c>
      <c r="C18" s="42" t="s">
        <v>1410</v>
      </c>
      <c r="D18" s="41" t="s">
        <v>1411</v>
      </c>
      <c r="E18" s="41" t="s">
        <v>1412</v>
      </c>
      <c r="F18" s="41">
        <v>1992</v>
      </c>
      <c r="G18" s="41" t="s">
        <v>1413</v>
      </c>
      <c r="H18" s="3" t="str">
        <f t="shared" si="0"/>
        <v>Middle</v>
      </c>
    </row>
    <row r="19" spans="1:8" ht="15.75" customHeight="1">
      <c r="A19" s="23" t="s">
        <v>1414</v>
      </c>
      <c r="B19" s="23" t="s">
        <v>1337</v>
      </c>
      <c r="C19" s="23"/>
      <c r="D19" s="23" t="s">
        <v>1415</v>
      </c>
      <c r="E19" s="23" t="s">
        <v>467</v>
      </c>
      <c r="F19" s="23">
        <v>2001</v>
      </c>
      <c r="G19" s="23" t="s">
        <v>1416</v>
      </c>
      <c r="H19" s="3" t="str">
        <f t="shared" si="0"/>
        <v>Middle</v>
      </c>
    </row>
    <row r="20" spans="1:8" ht="12.5" customHeight="1">
      <c r="A20" s="41" t="s">
        <v>1417</v>
      </c>
      <c r="B20" s="41" t="s">
        <v>1337</v>
      </c>
      <c r="C20" s="42" t="s">
        <v>1418</v>
      </c>
      <c r="D20" s="41" t="s">
        <v>1419</v>
      </c>
      <c r="E20" s="41" t="s">
        <v>1420</v>
      </c>
      <c r="F20" s="41">
        <v>2019</v>
      </c>
      <c r="G20" s="41" t="s">
        <v>259</v>
      </c>
      <c r="H20" s="3" t="str">
        <f t="shared" si="0"/>
        <v>Recent</v>
      </c>
    </row>
    <row r="21" spans="1:8" ht="12.5" customHeight="1">
      <c r="A21" s="41" t="s">
        <v>1421</v>
      </c>
      <c r="B21" s="41" t="s">
        <v>1337</v>
      </c>
      <c r="C21" s="42" t="s">
        <v>1422</v>
      </c>
      <c r="D21" s="41" t="s">
        <v>1423</v>
      </c>
      <c r="E21" s="41" t="s">
        <v>1424</v>
      </c>
      <c r="F21" s="41">
        <v>1978</v>
      </c>
      <c r="G21" s="41" t="s">
        <v>1425</v>
      </c>
      <c r="H21" s="3" t="str">
        <f t="shared" si="0"/>
        <v>Early</v>
      </c>
    </row>
    <row r="22" spans="1:8" ht="12.5" customHeight="1">
      <c r="A22" s="23" t="s">
        <v>1426</v>
      </c>
      <c r="B22" s="23" t="s">
        <v>1337</v>
      </c>
      <c r="C22" s="23"/>
      <c r="D22" s="23" t="s">
        <v>1427</v>
      </c>
      <c r="E22" s="23" t="s">
        <v>1424</v>
      </c>
      <c r="F22" s="23">
        <v>1989</v>
      </c>
      <c r="G22" s="23" t="s">
        <v>1428</v>
      </c>
      <c r="H22" s="3" t="str">
        <f t="shared" si="0"/>
        <v>Early</v>
      </c>
    </row>
    <row r="23" spans="1:8" ht="12.5" customHeight="1">
      <c r="A23" s="41" t="s">
        <v>1429</v>
      </c>
      <c r="B23" s="41" t="s">
        <v>1337</v>
      </c>
      <c r="C23" s="42" t="s">
        <v>1430</v>
      </c>
      <c r="D23" s="41" t="s">
        <v>1431</v>
      </c>
      <c r="E23" s="41" t="s">
        <v>552</v>
      </c>
      <c r="F23" s="41">
        <v>2015</v>
      </c>
      <c r="G23" s="41" t="s">
        <v>1432</v>
      </c>
      <c r="H23" s="3" t="str">
        <f t="shared" si="0"/>
        <v>Recent</v>
      </c>
    </row>
    <row r="24" spans="1:8" ht="12.5" customHeight="1">
      <c r="A24" s="41" t="s">
        <v>1433</v>
      </c>
      <c r="B24" s="41" t="s">
        <v>1337</v>
      </c>
      <c r="C24" s="42" t="s">
        <v>1434</v>
      </c>
      <c r="D24" s="41" t="s">
        <v>1435</v>
      </c>
      <c r="E24" s="41" t="s">
        <v>1436</v>
      </c>
      <c r="F24" s="41">
        <v>1994</v>
      </c>
      <c r="G24" s="41" t="s">
        <v>1381</v>
      </c>
      <c r="H24" s="3" t="str">
        <f t="shared" si="0"/>
        <v>Middle</v>
      </c>
    </row>
    <row r="25" spans="1:8" ht="12.5" customHeight="1">
      <c r="A25" s="41" t="s">
        <v>1437</v>
      </c>
      <c r="B25" s="41" t="s">
        <v>1337</v>
      </c>
      <c r="C25" s="42" t="s">
        <v>1438</v>
      </c>
      <c r="D25" s="41" t="s">
        <v>1439</v>
      </c>
      <c r="E25" s="41" t="s">
        <v>1440</v>
      </c>
      <c r="F25" s="41">
        <v>2005</v>
      </c>
      <c r="G25" s="41" t="s">
        <v>1441</v>
      </c>
      <c r="H25" s="3" t="str">
        <f t="shared" si="0"/>
        <v>Middle</v>
      </c>
    </row>
    <row r="26" spans="1:8" ht="12.5" customHeight="1">
      <c r="A26" s="23" t="s">
        <v>1442</v>
      </c>
      <c r="B26" s="23" t="s">
        <v>1337</v>
      </c>
      <c r="C26" s="23"/>
      <c r="D26" s="23" t="s">
        <v>1443</v>
      </c>
      <c r="E26" s="23" t="s">
        <v>1444</v>
      </c>
      <c r="F26" s="23">
        <v>1997</v>
      </c>
      <c r="G26" s="23" t="s">
        <v>1445</v>
      </c>
      <c r="H26" s="3" t="str">
        <f t="shared" si="0"/>
        <v>Middle</v>
      </c>
    </row>
    <row r="27" spans="1:8" ht="12.5" customHeight="1">
      <c r="A27" s="41" t="s">
        <v>1446</v>
      </c>
      <c r="B27" s="41" t="s">
        <v>1337</v>
      </c>
      <c r="C27" s="42" t="s">
        <v>1447</v>
      </c>
      <c r="D27" s="41" t="s">
        <v>1448</v>
      </c>
      <c r="E27" s="41" t="s">
        <v>1449</v>
      </c>
      <c r="F27" s="41">
        <v>1997</v>
      </c>
      <c r="G27" s="41" t="s">
        <v>1413</v>
      </c>
      <c r="H27" s="3" t="str">
        <f t="shared" si="0"/>
        <v>Middle</v>
      </c>
    </row>
    <row r="28" spans="1:8" ht="12.5" customHeight="1">
      <c r="A28" s="41" t="s">
        <v>1450</v>
      </c>
      <c r="B28" s="41" t="s">
        <v>1337</v>
      </c>
      <c r="C28" s="42" t="s">
        <v>1451</v>
      </c>
      <c r="D28" s="41" t="s">
        <v>1452</v>
      </c>
      <c r="E28" s="41" t="s">
        <v>1453</v>
      </c>
      <c r="F28" s="41">
        <v>2005</v>
      </c>
      <c r="G28" s="41" t="s">
        <v>1358</v>
      </c>
      <c r="H28" s="3" t="str">
        <f t="shared" si="0"/>
        <v>Middle</v>
      </c>
    </row>
    <row r="29" spans="1:8" ht="12.5" customHeight="1">
      <c r="A29" s="41" t="s">
        <v>1454</v>
      </c>
      <c r="B29" s="41" t="s">
        <v>1337</v>
      </c>
      <c r="C29" s="42" t="s">
        <v>1455</v>
      </c>
      <c r="D29" s="41" t="s">
        <v>1456</v>
      </c>
      <c r="E29" s="41" t="s">
        <v>1457</v>
      </c>
      <c r="F29" s="41">
        <v>1983</v>
      </c>
      <c r="G29" s="41" t="s">
        <v>1413</v>
      </c>
      <c r="H29" s="3" t="str">
        <f t="shared" si="0"/>
        <v>Early</v>
      </c>
    </row>
    <row r="30" spans="1:8" ht="12.5" customHeight="1">
      <c r="A30" s="41" t="s">
        <v>1458</v>
      </c>
      <c r="B30" s="41" t="s">
        <v>1337</v>
      </c>
      <c r="C30" s="42" t="s">
        <v>1459</v>
      </c>
      <c r="D30" s="41" t="s">
        <v>1460</v>
      </c>
      <c r="E30" s="41" t="s">
        <v>1461</v>
      </c>
      <c r="F30" s="41">
        <v>2019</v>
      </c>
      <c r="G30" s="41" t="s">
        <v>1462</v>
      </c>
      <c r="H30" s="3" t="str">
        <f t="shared" si="0"/>
        <v>Recent</v>
      </c>
    </row>
    <row r="31" spans="1:8" ht="12.5" customHeight="1">
      <c r="A31" s="23" t="s">
        <v>1463</v>
      </c>
      <c r="B31" s="23" t="s">
        <v>1337</v>
      </c>
      <c r="C31" s="23"/>
      <c r="D31" s="23" t="s">
        <v>1464</v>
      </c>
      <c r="E31" s="23" t="s">
        <v>1465</v>
      </c>
      <c r="F31" s="23">
        <v>1983</v>
      </c>
      <c r="G31" s="23" t="s">
        <v>1466</v>
      </c>
      <c r="H31" s="3" t="str">
        <f t="shared" si="0"/>
        <v>Early</v>
      </c>
    </row>
    <row r="32" spans="1:8" ht="12.5" customHeight="1">
      <c r="A32" s="41" t="s">
        <v>1467</v>
      </c>
      <c r="B32" s="41" t="s">
        <v>1337</v>
      </c>
      <c r="C32" s="42" t="s">
        <v>1468</v>
      </c>
      <c r="D32" s="41" t="s">
        <v>1469</v>
      </c>
      <c r="E32" s="41" t="s">
        <v>1470</v>
      </c>
      <c r="F32" s="41">
        <v>1979</v>
      </c>
      <c r="G32" s="41" t="s">
        <v>1350</v>
      </c>
      <c r="H32" s="3" t="str">
        <f t="shared" si="0"/>
        <v>Early</v>
      </c>
    </row>
    <row r="33" spans="1:8" ht="12.5" customHeight="1">
      <c r="A33" s="41" t="s">
        <v>1471</v>
      </c>
      <c r="B33" s="41" t="s">
        <v>1337</v>
      </c>
      <c r="C33" s="42" t="s">
        <v>1472</v>
      </c>
      <c r="D33" s="41" t="s">
        <v>1473</v>
      </c>
      <c r="E33" s="41" t="s">
        <v>1474</v>
      </c>
      <c r="F33" s="41">
        <v>2016</v>
      </c>
      <c r="G33" s="41" t="s">
        <v>1131</v>
      </c>
      <c r="H33" s="3" t="str">
        <f t="shared" si="0"/>
        <v>Recent</v>
      </c>
    </row>
    <row r="34" spans="1:8" ht="12.5" customHeight="1">
      <c r="A34" s="41" t="s">
        <v>1475</v>
      </c>
      <c r="B34" s="41" t="s">
        <v>1337</v>
      </c>
      <c r="C34" s="42" t="s">
        <v>1476</v>
      </c>
      <c r="D34" s="41" t="s">
        <v>1477</v>
      </c>
      <c r="E34" s="41" t="s">
        <v>1478</v>
      </c>
      <c r="F34" s="41">
        <v>2019</v>
      </c>
      <c r="G34" s="41" t="s">
        <v>259</v>
      </c>
      <c r="H34" s="3" t="str">
        <f t="shared" si="0"/>
        <v>Recent</v>
      </c>
    </row>
    <row r="35" spans="1:8" ht="12.5" customHeight="1">
      <c r="A35" s="41" t="s">
        <v>1479</v>
      </c>
      <c r="B35" s="41" t="s">
        <v>1337</v>
      </c>
      <c r="C35" s="42" t="s">
        <v>1480</v>
      </c>
      <c r="D35" s="41" t="s">
        <v>1481</v>
      </c>
      <c r="E35" s="41" t="s">
        <v>1482</v>
      </c>
      <c r="F35" s="41">
        <v>1987</v>
      </c>
      <c r="G35" s="41" t="s">
        <v>1483</v>
      </c>
      <c r="H35" s="3" t="str">
        <f t="shared" si="0"/>
        <v>Early</v>
      </c>
    </row>
  </sheetData>
  <hyperlinks>
    <hyperlink ref="C2" r:id="rId1" xr:uid="{00000000-0004-0000-0800-000000000000}"/>
    <hyperlink ref="C3" r:id="rId2" xr:uid="{00000000-0004-0000-0800-000001000000}"/>
    <hyperlink ref="C4" r:id="rId3" xr:uid="{00000000-0004-0000-0800-000002000000}"/>
    <hyperlink ref="C5" r:id="rId4" xr:uid="{00000000-0004-0000-0800-000003000000}"/>
    <hyperlink ref="C7" r:id="rId5" xr:uid="{00000000-0004-0000-0800-000004000000}"/>
    <hyperlink ref="C8" r:id="rId6" xr:uid="{00000000-0004-0000-0800-000005000000}"/>
    <hyperlink ref="C10" r:id="rId7" xr:uid="{00000000-0004-0000-0800-000006000000}"/>
    <hyperlink ref="C11" r:id="rId8" xr:uid="{00000000-0004-0000-0800-000007000000}"/>
    <hyperlink ref="C12" r:id="rId9" xr:uid="{00000000-0004-0000-0800-000008000000}"/>
    <hyperlink ref="C13" r:id="rId10" xr:uid="{00000000-0004-0000-0800-000009000000}"/>
    <hyperlink ref="C14" r:id="rId11" xr:uid="{00000000-0004-0000-0800-00000A000000}"/>
    <hyperlink ref="C15" r:id="rId12" xr:uid="{00000000-0004-0000-0800-00000B000000}"/>
    <hyperlink ref="C16" r:id="rId13" xr:uid="{00000000-0004-0000-0800-00000C000000}"/>
    <hyperlink ref="C17" r:id="rId14" xr:uid="{00000000-0004-0000-0800-00000D000000}"/>
    <hyperlink ref="C18" r:id="rId15" xr:uid="{00000000-0004-0000-0800-00000E000000}"/>
    <hyperlink ref="C20" r:id="rId16" xr:uid="{00000000-0004-0000-0800-00000F000000}"/>
    <hyperlink ref="C21" r:id="rId17" xr:uid="{00000000-0004-0000-0800-000010000000}"/>
    <hyperlink ref="C23" r:id="rId18" xr:uid="{00000000-0004-0000-0800-000011000000}"/>
    <hyperlink ref="C24" r:id="rId19" xr:uid="{00000000-0004-0000-0800-000012000000}"/>
    <hyperlink ref="C25" r:id="rId20" xr:uid="{00000000-0004-0000-0800-000013000000}"/>
    <hyperlink ref="C27" r:id="rId21" xr:uid="{00000000-0004-0000-0800-000014000000}"/>
    <hyperlink ref="C28" r:id="rId22" xr:uid="{00000000-0004-0000-0800-000015000000}"/>
    <hyperlink ref="C29" r:id="rId23" xr:uid="{00000000-0004-0000-0800-000016000000}"/>
    <hyperlink ref="C30" r:id="rId24" xr:uid="{00000000-0004-0000-0800-000017000000}"/>
    <hyperlink ref="C32" r:id="rId25" xr:uid="{00000000-0004-0000-0800-000018000000}"/>
    <hyperlink ref="C33" r:id="rId26" xr:uid="{00000000-0004-0000-0800-000019000000}"/>
    <hyperlink ref="C34" r:id="rId27" xr:uid="{00000000-0004-0000-0800-00001A000000}"/>
    <hyperlink ref="C35" r:id="rId28" xr:uid="{00000000-0004-0000-0800-00001B000000}"/>
  </hyperlink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46"/>
  <sheetViews>
    <sheetView workbookViewId="0"/>
  </sheetViews>
  <sheetFormatPr defaultColWidth="10.90625" defaultRowHeight="12.5"/>
  <cols>
    <col min="3" max="3" width="58.4531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43" t="s">
        <v>1484</v>
      </c>
      <c r="B2" s="43" t="s">
        <v>1485</v>
      </c>
      <c r="C2" s="44" t="s">
        <v>1486</v>
      </c>
      <c r="D2" s="43" t="s">
        <v>1487</v>
      </c>
      <c r="E2" s="43" t="s">
        <v>1488</v>
      </c>
      <c r="F2" s="43">
        <v>2017</v>
      </c>
      <c r="G2" s="43" t="s">
        <v>1489</v>
      </c>
      <c r="H2" s="3" t="str">
        <f t="shared" ref="H2:H46" si="0">IF(F2="","",
  IF(F2&lt;=PERCENTILE(IF($B:$B=B2,$F:$F),0.33),"Early",
    IF(F2&lt;=PERCENTILE(IF($B:$B=B2,$F:$F),0.67),"Middle","Recent")))</f>
        <v>Middle</v>
      </c>
    </row>
    <row r="3" spans="1:26" ht="15.75" customHeight="1">
      <c r="A3" s="23" t="s">
        <v>1490</v>
      </c>
      <c r="B3" s="23" t="s">
        <v>1485</v>
      </c>
      <c r="C3" s="23"/>
      <c r="D3" s="23" t="s">
        <v>1491</v>
      </c>
      <c r="E3" s="23" t="s">
        <v>1492</v>
      </c>
      <c r="F3" s="23">
        <v>2019</v>
      </c>
      <c r="G3" s="23" t="s">
        <v>1493</v>
      </c>
      <c r="H3" s="3" t="str">
        <f t="shared" si="0"/>
        <v>Middle</v>
      </c>
    </row>
    <row r="4" spans="1:26" ht="15.75" customHeight="1">
      <c r="A4" s="43" t="s">
        <v>1494</v>
      </c>
      <c r="B4" s="43" t="s">
        <v>1485</v>
      </c>
      <c r="C4" s="44" t="s">
        <v>1495</v>
      </c>
      <c r="D4" s="43" t="s">
        <v>1496</v>
      </c>
      <c r="E4" s="43" t="s">
        <v>326</v>
      </c>
      <c r="F4" s="43">
        <v>2016</v>
      </c>
      <c r="G4" s="43" t="s">
        <v>1497</v>
      </c>
      <c r="H4" s="3" t="str">
        <f t="shared" si="0"/>
        <v>Early</v>
      </c>
    </row>
    <row r="5" spans="1:26" ht="15.75" customHeight="1">
      <c r="A5" s="43" t="s">
        <v>1498</v>
      </c>
      <c r="B5" s="43" t="s">
        <v>1485</v>
      </c>
      <c r="C5" s="44" t="s">
        <v>1499</v>
      </c>
      <c r="D5" s="43" t="s">
        <v>1500</v>
      </c>
      <c r="E5" s="43" t="s">
        <v>1501</v>
      </c>
      <c r="F5" s="43">
        <v>2018</v>
      </c>
      <c r="G5" s="43" t="s">
        <v>1502</v>
      </c>
      <c r="H5" s="3" t="str">
        <f t="shared" si="0"/>
        <v>Middle</v>
      </c>
    </row>
    <row r="6" spans="1:26" ht="15.75" customHeight="1">
      <c r="A6" s="43" t="s">
        <v>1503</v>
      </c>
      <c r="B6" s="43" t="s">
        <v>1485</v>
      </c>
      <c r="C6" s="44" t="s">
        <v>1504</v>
      </c>
      <c r="D6" s="43" t="s">
        <v>1505</v>
      </c>
      <c r="E6" s="43" t="s">
        <v>1506</v>
      </c>
      <c r="F6" s="43">
        <v>2019</v>
      </c>
      <c r="G6" s="43" t="s">
        <v>1507</v>
      </c>
      <c r="H6" s="3" t="str">
        <f t="shared" si="0"/>
        <v>Middle</v>
      </c>
    </row>
    <row r="7" spans="1:26" ht="15.75" customHeight="1">
      <c r="A7" s="43" t="s">
        <v>1508</v>
      </c>
      <c r="B7" s="43" t="s">
        <v>1485</v>
      </c>
      <c r="C7" s="44" t="s">
        <v>1509</v>
      </c>
      <c r="D7" s="43" t="s">
        <v>1510</v>
      </c>
      <c r="E7" s="43" t="s">
        <v>1511</v>
      </c>
      <c r="F7" s="43">
        <v>2019</v>
      </c>
      <c r="G7" s="43" t="s">
        <v>1512</v>
      </c>
      <c r="H7" s="3" t="str">
        <f t="shared" si="0"/>
        <v>Middle</v>
      </c>
    </row>
    <row r="8" spans="1:26" ht="15.75" customHeight="1">
      <c r="A8" s="43" t="s">
        <v>1513</v>
      </c>
      <c r="B8" s="43" t="s">
        <v>1485</v>
      </c>
      <c r="C8" s="44" t="s">
        <v>1514</v>
      </c>
      <c r="D8" s="43" t="s">
        <v>1515</v>
      </c>
      <c r="E8" s="43" t="s">
        <v>1516</v>
      </c>
      <c r="F8" s="43">
        <v>2020</v>
      </c>
      <c r="G8" s="43" t="s">
        <v>1517</v>
      </c>
      <c r="H8" s="3" t="str">
        <f t="shared" si="0"/>
        <v>Recent</v>
      </c>
    </row>
    <row r="9" spans="1:26" ht="15.75" customHeight="1">
      <c r="A9" s="43" t="s">
        <v>1518</v>
      </c>
      <c r="B9" s="43" t="s">
        <v>1485</v>
      </c>
      <c r="C9" s="44" t="s">
        <v>1519</v>
      </c>
      <c r="D9" s="43" t="s">
        <v>1520</v>
      </c>
      <c r="E9" s="43" t="s">
        <v>1521</v>
      </c>
      <c r="F9" s="43">
        <v>2016</v>
      </c>
      <c r="G9" s="43" t="s">
        <v>1522</v>
      </c>
      <c r="H9" s="3" t="str">
        <f t="shared" si="0"/>
        <v>Early</v>
      </c>
    </row>
    <row r="10" spans="1:26" ht="15.75" customHeight="1">
      <c r="A10" s="43" t="s">
        <v>1523</v>
      </c>
      <c r="B10" s="43" t="s">
        <v>1485</v>
      </c>
      <c r="C10" s="44" t="s">
        <v>1524</v>
      </c>
      <c r="D10" s="43" t="s">
        <v>1525</v>
      </c>
      <c r="E10" s="43" t="s">
        <v>1526</v>
      </c>
      <c r="F10" s="43">
        <v>2016</v>
      </c>
      <c r="G10" s="43" t="s">
        <v>1489</v>
      </c>
      <c r="H10" s="3" t="str">
        <f t="shared" si="0"/>
        <v>Early</v>
      </c>
    </row>
    <row r="11" spans="1:26" ht="15.75" customHeight="1">
      <c r="A11" s="43" t="s">
        <v>1527</v>
      </c>
      <c r="B11" s="43" t="s">
        <v>1485</v>
      </c>
      <c r="C11" s="44" t="s">
        <v>1528</v>
      </c>
      <c r="D11" s="43" t="s">
        <v>1529</v>
      </c>
      <c r="E11" s="43" t="s">
        <v>1530</v>
      </c>
      <c r="F11" s="43">
        <v>2020</v>
      </c>
      <c r="G11" s="43" t="s">
        <v>1531</v>
      </c>
      <c r="H11" s="3" t="str">
        <f t="shared" si="0"/>
        <v>Recent</v>
      </c>
    </row>
    <row r="12" spans="1:26" ht="15.75" customHeight="1">
      <c r="A12" s="43" t="s">
        <v>1532</v>
      </c>
      <c r="B12" s="43" t="s">
        <v>1485</v>
      </c>
      <c r="C12" s="44" t="s">
        <v>1533</v>
      </c>
      <c r="D12" s="43" t="s">
        <v>1534</v>
      </c>
      <c r="E12" s="43" t="s">
        <v>1535</v>
      </c>
      <c r="F12" s="43">
        <v>2016</v>
      </c>
      <c r="G12" s="43" t="s">
        <v>1536</v>
      </c>
      <c r="H12" s="3" t="str">
        <f t="shared" si="0"/>
        <v>Early</v>
      </c>
    </row>
    <row r="13" spans="1:26" ht="15.75" customHeight="1">
      <c r="A13" s="23" t="s">
        <v>1537</v>
      </c>
      <c r="B13" s="23" t="s">
        <v>1485</v>
      </c>
      <c r="C13" s="23"/>
      <c r="D13" s="23" t="s">
        <v>1538</v>
      </c>
      <c r="E13" s="23" t="s">
        <v>1539</v>
      </c>
      <c r="F13" s="23">
        <v>2015</v>
      </c>
      <c r="G13" s="23" t="s">
        <v>1540</v>
      </c>
      <c r="H13" s="3" t="str">
        <f t="shared" si="0"/>
        <v>Early</v>
      </c>
    </row>
    <row r="14" spans="1:26" ht="15.75" customHeight="1">
      <c r="A14" s="43" t="s">
        <v>1541</v>
      </c>
      <c r="B14" s="43" t="s">
        <v>1485</v>
      </c>
      <c r="C14" s="44" t="s">
        <v>3099</v>
      </c>
      <c r="D14" s="43" t="s">
        <v>1543</v>
      </c>
      <c r="E14" s="43" t="s">
        <v>1544</v>
      </c>
      <c r="F14" s="43">
        <v>2019</v>
      </c>
      <c r="G14" s="43" t="s">
        <v>1545</v>
      </c>
      <c r="H14" s="3" t="str">
        <f t="shared" si="0"/>
        <v>Middle</v>
      </c>
    </row>
    <row r="15" spans="1:26" ht="15.75" customHeight="1">
      <c r="A15" s="43" t="s">
        <v>1546</v>
      </c>
      <c r="B15" s="43" t="s">
        <v>1485</v>
      </c>
      <c r="C15" s="44" t="s">
        <v>1547</v>
      </c>
      <c r="D15" s="43" t="s">
        <v>1548</v>
      </c>
      <c r="E15" s="43" t="s">
        <v>1549</v>
      </c>
      <c r="F15" s="43">
        <v>2016</v>
      </c>
      <c r="G15" s="43" t="s">
        <v>1550</v>
      </c>
      <c r="H15" s="3" t="str">
        <f t="shared" si="0"/>
        <v>Early</v>
      </c>
    </row>
    <row r="16" spans="1:26" ht="15.75" customHeight="1">
      <c r="A16" s="43" t="s">
        <v>1551</v>
      </c>
      <c r="B16" s="43" t="s">
        <v>1485</v>
      </c>
      <c r="C16" s="44" t="s">
        <v>1552</v>
      </c>
      <c r="D16" s="43" t="s">
        <v>1553</v>
      </c>
      <c r="E16" s="43" t="s">
        <v>1554</v>
      </c>
      <c r="F16" s="43">
        <v>2020</v>
      </c>
      <c r="G16" s="43" t="s">
        <v>641</v>
      </c>
      <c r="H16" s="3" t="str">
        <f t="shared" si="0"/>
        <v>Recent</v>
      </c>
    </row>
    <row r="17" spans="1:8" ht="15.75" customHeight="1">
      <c r="A17" s="23" t="s">
        <v>1555</v>
      </c>
      <c r="B17" s="23" t="s">
        <v>1485</v>
      </c>
      <c r="C17" s="23"/>
      <c r="D17" s="23" t="s">
        <v>1556</v>
      </c>
      <c r="E17" s="23" t="s">
        <v>1557</v>
      </c>
      <c r="F17" s="23">
        <v>2016</v>
      </c>
      <c r="G17" s="23" t="s">
        <v>1558</v>
      </c>
      <c r="H17" s="3" t="str">
        <f t="shared" si="0"/>
        <v>Early</v>
      </c>
    </row>
    <row r="18" spans="1:8" ht="15.75" customHeight="1">
      <c r="A18" s="43" t="s">
        <v>1559</v>
      </c>
      <c r="B18" s="43" t="s">
        <v>1485</v>
      </c>
      <c r="C18" s="44" t="s">
        <v>1560</v>
      </c>
      <c r="D18" s="43" t="s">
        <v>1561</v>
      </c>
      <c r="E18" s="43" t="s">
        <v>1562</v>
      </c>
      <c r="F18" s="43">
        <v>2017</v>
      </c>
      <c r="G18" s="43" t="s">
        <v>1563</v>
      </c>
      <c r="H18" s="3" t="str">
        <f t="shared" si="0"/>
        <v>Middle</v>
      </c>
    </row>
    <row r="19" spans="1:8" ht="15.75" customHeight="1">
      <c r="A19" s="43" t="s">
        <v>1564</v>
      </c>
      <c r="B19" s="43" t="s">
        <v>1485</v>
      </c>
      <c r="C19" s="44" t="s">
        <v>1565</v>
      </c>
      <c r="D19" s="43" t="s">
        <v>1566</v>
      </c>
      <c r="E19" s="43" t="s">
        <v>1567</v>
      </c>
      <c r="F19" s="43">
        <v>2021</v>
      </c>
      <c r="G19" s="43" t="s">
        <v>1568</v>
      </c>
      <c r="H19" s="3" t="str">
        <f t="shared" si="0"/>
        <v>Recent</v>
      </c>
    </row>
    <row r="20" spans="1:8" ht="14" customHeight="1">
      <c r="A20" s="43" t="s">
        <v>1569</v>
      </c>
      <c r="B20" s="43" t="s">
        <v>1485</v>
      </c>
      <c r="C20" s="45" t="s">
        <v>1570</v>
      </c>
      <c r="D20" s="43" t="s">
        <v>1571</v>
      </c>
      <c r="E20" s="43" t="s">
        <v>1572</v>
      </c>
      <c r="F20" s="43">
        <v>2015</v>
      </c>
      <c r="G20" s="43" t="s">
        <v>1573</v>
      </c>
      <c r="H20" s="3" t="str">
        <f t="shared" si="0"/>
        <v>Early</v>
      </c>
    </row>
    <row r="21" spans="1:8" ht="12.5" customHeight="1">
      <c r="A21" s="43" t="s">
        <v>1574</v>
      </c>
      <c r="B21" s="43" t="s">
        <v>1485</v>
      </c>
      <c r="C21" s="44" t="s">
        <v>1575</v>
      </c>
      <c r="D21" s="43" t="s">
        <v>1576</v>
      </c>
      <c r="E21" s="43" t="s">
        <v>1577</v>
      </c>
      <c r="F21" s="43">
        <v>2017</v>
      </c>
      <c r="G21" s="43" t="s">
        <v>646</v>
      </c>
      <c r="H21" s="3" t="str">
        <f t="shared" si="0"/>
        <v>Middle</v>
      </c>
    </row>
    <row r="22" spans="1:8" ht="12.5" customHeight="1">
      <c r="A22" s="43" t="s">
        <v>1578</v>
      </c>
      <c r="B22" s="43" t="s">
        <v>1485</v>
      </c>
      <c r="C22" s="44" t="s">
        <v>1579</v>
      </c>
      <c r="D22" s="43" t="s">
        <v>1580</v>
      </c>
      <c r="E22" s="43" t="s">
        <v>1581</v>
      </c>
      <c r="F22" s="43">
        <v>2018</v>
      </c>
      <c r="G22" s="43" t="s">
        <v>1531</v>
      </c>
      <c r="H22" s="3" t="str">
        <f t="shared" si="0"/>
        <v>Middle</v>
      </c>
    </row>
    <row r="23" spans="1:8" ht="12.5" customHeight="1">
      <c r="A23" s="43" t="s">
        <v>1582</v>
      </c>
      <c r="B23" s="43" t="s">
        <v>1485</v>
      </c>
      <c r="C23" s="44" t="s">
        <v>1583</v>
      </c>
      <c r="D23" s="43" t="s">
        <v>1584</v>
      </c>
      <c r="E23" s="43" t="s">
        <v>1585</v>
      </c>
      <c r="F23" s="43">
        <v>2015</v>
      </c>
      <c r="G23" s="43" t="s">
        <v>1586</v>
      </c>
      <c r="H23" s="3" t="str">
        <f t="shared" si="0"/>
        <v>Early</v>
      </c>
    </row>
    <row r="24" spans="1:8" ht="12.5" customHeight="1">
      <c r="A24" s="43" t="s">
        <v>1587</v>
      </c>
      <c r="B24" s="43" t="s">
        <v>1485</v>
      </c>
      <c r="C24" s="44" t="s">
        <v>1588</v>
      </c>
      <c r="D24" s="43" t="s">
        <v>1589</v>
      </c>
      <c r="E24" s="43" t="s">
        <v>1590</v>
      </c>
      <c r="F24" s="43">
        <v>2013</v>
      </c>
      <c r="G24" s="43" t="s">
        <v>1591</v>
      </c>
      <c r="H24" s="3" t="str">
        <f t="shared" si="0"/>
        <v>Early</v>
      </c>
    </row>
    <row r="25" spans="1:8" ht="12.5" customHeight="1">
      <c r="A25" s="43" t="s">
        <v>1592</v>
      </c>
      <c r="B25" s="43" t="s">
        <v>1485</v>
      </c>
      <c r="C25" s="44" t="s">
        <v>1593</v>
      </c>
      <c r="D25" s="43" t="s">
        <v>1594</v>
      </c>
      <c r="E25" s="43" t="s">
        <v>1595</v>
      </c>
      <c r="F25" s="43">
        <v>2020</v>
      </c>
      <c r="G25" s="43" t="s">
        <v>1596</v>
      </c>
      <c r="H25" s="3" t="str">
        <f t="shared" si="0"/>
        <v>Recent</v>
      </c>
    </row>
    <row r="26" spans="1:8" ht="12.5" customHeight="1">
      <c r="A26" s="43" t="s">
        <v>1597</v>
      </c>
      <c r="B26" s="43" t="s">
        <v>1485</v>
      </c>
      <c r="C26" s="44" t="s">
        <v>1598</v>
      </c>
      <c r="D26" s="43" t="s">
        <v>1599</v>
      </c>
      <c r="E26" s="43" t="s">
        <v>1600</v>
      </c>
      <c r="F26" s="43">
        <v>2017</v>
      </c>
      <c r="G26" s="43" t="s">
        <v>1497</v>
      </c>
      <c r="H26" s="3" t="str">
        <f t="shared" si="0"/>
        <v>Middle</v>
      </c>
    </row>
    <row r="27" spans="1:8" ht="12.5" customHeight="1">
      <c r="A27" s="43" t="s">
        <v>1601</v>
      </c>
      <c r="B27" s="43" t="s">
        <v>1485</v>
      </c>
      <c r="C27" s="46" t="s">
        <v>1602</v>
      </c>
      <c r="D27" s="43" t="s">
        <v>1603</v>
      </c>
      <c r="E27" s="43" t="s">
        <v>1604</v>
      </c>
      <c r="F27" s="43">
        <v>2019</v>
      </c>
      <c r="G27" s="43" t="s">
        <v>641</v>
      </c>
      <c r="H27" s="3" t="str">
        <f t="shared" si="0"/>
        <v>Middle</v>
      </c>
    </row>
    <row r="28" spans="1:8" ht="12.5" customHeight="1">
      <c r="A28" s="43" t="s">
        <v>1605</v>
      </c>
      <c r="B28" s="43" t="s">
        <v>1485</v>
      </c>
      <c r="C28" s="44" t="s">
        <v>1606</v>
      </c>
      <c r="D28" s="43" t="s">
        <v>1607</v>
      </c>
      <c r="E28" s="43" t="s">
        <v>1608</v>
      </c>
      <c r="F28" s="43">
        <v>2016</v>
      </c>
      <c r="G28" s="43" t="s">
        <v>1609</v>
      </c>
      <c r="H28" s="3" t="str">
        <f t="shared" si="0"/>
        <v>Early</v>
      </c>
    </row>
    <row r="29" spans="1:8" ht="12.5" customHeight="1">
      <c r="A29" s="43" t="s">
        <v>1610</v>
      </c>
      <c r="B29" s="43" t="s">
        <v>1485</v>
      </c>
      <c r="C29" s="44" t="s">
        <v>1611</v>
      </c>
      <c r="D29" s="43" t="s">
        <v>1612</v>
      </c>
      <c r="E29" s="43" t="s">
        <v>449</v>
      </c>
      <c r="F29" s="43">
        <v>2020</v>
      </c>
      <c r="G29" s="43" t="s">
        <v>641</v>
      </c>
      <c r="H29" s="3" t="str">
        <f t="shared" si="0"/>
        <v>Recent</v>
      </c>
    </row>
    <row r="30" spans="1:8" ht="12.5" customHeight="1">
      <c r="A30" s="43" t="s">
        <v>1613</v>
      </c>
      <c r="B30" s="43" t="s">
        <v>1485</v>
      </c>
      <c r="C30" s="44" t="s">
        <v>1614</v>
      </c>
      <c r="D30" s="43" t="s">
        <v>1615</v>
      </c>
      <c r="E30" s="43" t="s">
        <v>1234</v>
      </c>
      <c r="F30" s="43">
        <v>2018</v>
      </c>
      <c r="G30" s="43" t="s">
        <v>1616</v>
      </c>
      <c r="H30" s="3" t="str">
        <f t="shared" si="0"/>
        <v>Middle</v>
      </c>
    </row>
    <row r="31" spans="1:8" ht="12.5" customHeight="1">
      <c r="A31" s="43" t="s">
        <v>1617</v>
      </c>
      <c r="B31" s="43" t="s">
        <v>1485</v>
      </c>
      <c r="C31" s="44" t="s">
        <v>1618</v>
      </c>
      <c r="D31" s="43" t="s">
        <v>1619</v>
      </c>
      <c r="E31" s="43" t="s">
        <v>1620</v>
      </c>
      <c r="F31" s="43">
        <v>2020</v>
      </c>
      <c r="G31" s="43" t="s">
        <v>1621</v>
      </c>
      <c r="H31" s="3" t="str">
        <f t="shared" si="0"/>
        <v>Recent</v>
      </c>
    </row>
    <row r="32" spans="1:8" ht="12.5" customHeight="1">
      <c r="A32" s="43" t="s">
        <v>1622</v>
      </c>
      <c r="B32" s="43" t="s">
        <v>1485</v>
      </c>
      <c r="C32" s="44" t="s">
        <v>1623</v>
      </c>
      <c r="D32" s="43" t="s">
        <v>1624</v>
      </c>
      <c r="E32" s="43" t="s">
        <v>1625</v>
      </c>
      <c r="F32" s="43">
        <v>2022</v>
      </c>
      <c r="G32" s="43" t="s">
        <v>1626</v>
      </c>
      <c r="H32" s="3" t="str">
        <f t="shared" si="0"/>
        <v>Recent</v>
      </c>
    </row>
    <row r="33" spans="1:8" ht="12.5" customHeight="1">
      <c r="A33" s="43" t="s">
        <v>1627</v>
      </c>
      <c r="B33" s="43" t="s">
        <v>1485</v>
      </c>
      <c r="C33" s="44" t="s">
        <v>1628</v>
      </c>
      <c r="D33" s="43" t="s">
        <v>1629</v>
      </c>
      <c r="E33" s="43" t="s">
        <v>1630</v>
      </c>
      <c r="F33" s="43">
        <v>2016</v>
      </c>
      <c r="G33" s="43" t="s">
        <v>1497</v>
      </c>
      <c r="H33" s="3" t="str">
        <f t="shared" si="0"/>
        <v>Early</v>
      </c>
    </row>
    <row r="34" spans="1:8" ht="12.5" customHeight="1">
      <c r="A34" s="43" t="s">
        <v>1631</v>
      </c>
      <c r="B34" s="43" t="s">
        <v>1485</v>
      </c>
      <c r="C34" s="44" t="s">
        <v>1632</v>
      </c>
      <c r="D34" s="43" t="s">
        <v>1633</v>
      </c>
      <c r="E34" s="43" t="s">
        <v>1634</v>
      </c>
      <c r="F34" s="43">
        <v>2017</v>
      </c>
      <c r="G34" s="43" t="s">
        <v>641</v>
      </c>
      <c r="H34" s="3" t="str">
        <f t="shared" si="0"/>
        <v>Middle</v>
      </c>
    </row>
    <row r="35" spans="1:8" ht="12.5" customHeight="1">
      <c r="A35" s="43" t="s">
        <v>1635</v>
      </c>
      <c r="B35" s="43" t="s">
        <v>1485</v>
      </c>
      <c r="C35" s="47" t="s">
        <v>1636</v>
      </c>
      <c r="D35" s="43" t="s">
        <v>1637</v>
      </c>
      <c r="E35" s="43" t="s">
        <v>1638</v>
      </c>
      <c r="F35" s="43">
        <v>2015</v>
      </c>
      <c r="G35" s="43" t="s">
        <v>1639</v>
      </c>
      <c r="H35" s="3" t="str">
        <f t="shared" si="0"/>
        <v>Early</v>
      </c>
    </row>
    <row r="36" spans="1:8" ht="12.5" customHeight="1">
      <c r="A36" s="43" t="s">
        <v>1640</v>
      </c>
      <c r="B36" s="43" t="s">
        <v>1485</v>
      </c>
      <c r="C36" s="44" t="s">
        <v>1641</v>
      </c>
      <c r="D36" s="43" t="s">
        <v>1642</v>
      </c>
      <c r="E36" s="43" t="s">
        <v>1643</v>
      </c>
      <c r="F36" s="43">
        <v>2020</v>
      </c>
      <c r="G36" s="43" t="s">
        <v>1644</v>
      </c>
      <c r="H36" s="3" t="str">
        <f t="shared" si="0"/>
        <v>Recent</v>
      </c>
    </row>
    <row r="37" spans="1:8" ht="12.5" customHeight="1">
      <c r="A37" s="43" t="s">
        <v>1645</v>
      </c>
      <c r="B37" s="43" t="s">
        <v>1485</v>
      </c>
      <c r="C37" s="4" t="s">
        <v>3100</v>
      </c>
      <c r="D37" s="43" t="s">
        <v>1647</v>
      </c>
      <c r="E37" s="43" t="s">
        <v>1648</v>
      </c>
      <c r="F37" s="43">
        <v>2016</v>
      </c>
      <c r="G37" s="43" t="s">
        <v>1522</v>
      </c>
      <c r="H37" s="3" t="str">
        <f t="shared" si="0"/>
        <v>Early</v>
      </c>
    </row>
    <row r="38" spans="1:8" ht="12.5" customHeight="1">
      <c r="A38" s="23" t="s">
        <v>1649</v>
      </c>
      <c r="B38" s="23" t="s">
        <v>1485</v>
      </c>
      <c r="C38" s="23"/>
      <c r="D38" s="23" t="s">
        <v>1650</v>
      </c>
      <c r="E38" s="23" t="s">
        <v>1651</v>
      </c>
      <c r="F38" s="23">
        <v>2019</v>
      </c>
      <c r="G38" s="23" t="s">
        <v>1652</v>
      </c>
      <c r="H38" s="3" t="str">
        <f t="shared" si="0"/>
        <v>Middle</v>
      </c>
    </row>
    <row r="39" spans="1:8" ht="12.5" customHeight="1">
      <c r="A39" s="43" t="s">
        <v>1653</v>
      </c>
      <c r="B39" s="43" t="s">
        <v>1485</v>
      </c>
      <c r="C39" s="44" t="s">
        <v>1654</v>
      </c>
      <c r="D39" s="43" t="s">
        <v>1655</v>
      </c>
      <c r="E39" s="43" t="s">
        <v>1656</v>
      </c>
      <c r="F39" s="43">
        <v>2014</v>
      </c>
      <c r="G39" s="43" t="s">
        <v>1489</v>
      </c>
      <c r="H39" s="3" t="str">
        <f t="shared" si="0"/>
        <v>Early</v>
      </c>
    </row>
    <row r="40" spans="1:8" ht="12.5" customHeight="1">
      <c r="A40" s="43" t="s">
        <v>1657</v>
      </c>
      <c r="B40" s="43" t="s">
        <v>1485</v>
      </c>
      <c r="C40" s="4" t="s">
        <v>3101</v>
      </c>
      <c r="D40" s="43" t="s">
        <v>1659</v>
      </c>
      <c r="E40" s="43" t="s">
        <v>1660</v>
      </c>
      <c r="F40" s="43">
        <v>2013</v>
      </c>
      <c r="G40" s="43" t="s">
        <v>1522</v>
      </c>
      <c r="H40" s="3" t="str">
        <f t="shared" si="0"/>
        <v>Early</v>
      </c>
    </row>
    <row r="41" spans="1:8" ht="12.5" customHeight="1">
      <c r="A41" s="43" t="s">
        <v>1661</v>
      </c>
      <c r="B41" s="43" t="s">
        <v>1485</v>
      </c>
      <c r="C41" s="44" t="s">
        <v>1662</v>
      </c>
      <c r="D41" s="43" t="s">
        <v>1663</v>
      </c>
      <c r="E41" s="43" t="s">
        <v>1664</v>
      </c>
      <c r="F41" s="43">
        <v>2022</v>
      </c>
      <c r="G41" s="43" t="s">
        <v>1665</v>
      </c>
      <c r="H41" s="3" t="str">
        <f t="shared" si="0"/>
        <v>Recent</v>
      </c>
    </row>
    <row r="42" spans="1:8" ht="12.5" customHeight="1">
      <c r="A42" s="43" t="s">
        <v>1666</v>
      </c>
      <c r="B42" s="43" t="s">
        <v>1485</v>
      </c>
      <c r="C42" s="44" t="s">
        <v>1667</v>
      </c>
      <c r="D42" s="43" t="s">
        <v>1668</v>
      </c>
      <c r="E42" s="43" t="s">
        <v>1669</v>
      </c>
      <c r="F42" s="43">
        <v>2015</v>
      </c>
      <c r="G42" s="43" t="s">
        <v>1670</v>
      </c>
      <c r="H42" s="3" t="str">
        <f t="shared" si="0"/>
        <v>Early</v>
      </c>
    </row>
    <row r="43" spans="1:8" ht="12.5" customHeight="1">
      <c r="A43" s="43" t="s">
        <v>1671</v>
      </c>
      <c r="B43" s="43" t="s">
        <v>1485</v>
      </c>
      <c r="C43" s="4" t="s">
        <v>3102</v>
      </c>
      <c r="D43" s="43" t="s">
        <v>1673</v>
      </c>
      <c r="E43" s="43" t="s">
        <v>1674</v>
      </c>
      <c r="F43" s="43">
        <v>2014</v>
      </c>
      <c r="G43" s="43" t="s">
        <v>1522</v>
      </c>
      <c r="H43" s="3" t="str">
        <f t="shared" si="0"/>
        <v>Early</v>
      </c>
    </row>
    <row r="44" spans="1:8" ht="12.5" customHeight="1">
      <c r="A44" s="43" t="s">
        <v>1675</v>
      </c>
      <c r="B44" s="43" t="s">
        <v>1485</v>
      </c>
      <c r="C44" s="4" t="s">
        <v>3103</v>
      </c>
      <c r="D44" s="43" t="s">
        <v>1677</v>
      </c>
      <c r="E44" s="43" t="s">
        <v>1678</v>
      </c>
      <c r="F44" s="43">
        <v>2020</v>
      </c>
      <c r="G44" s="43" t="s">
        <v>1679</v>
      </c>
      <c r="H44" s="3" t="str">
        <f t="shared" si="0"/>
        <v>Recent</v>
      </c>
    </row>
    <row r="45" spans="1:8" ht="12.5" customHeight="1">
      <c r="A45" s="43" t="s">
        <v>1680</v>
      </c>
      <c r="B45" s="43" t="s">
        <v>1485</v>
      </c>
      <c r="C45" s="44" t="s">
        <v>1681</v>
      </c>
      <c r="D45" s="43" t="s">
        <v>1682</v>
      </c>
      <c r="E45" s="43" t="s">
        <v>1683</v>
      </c>
      <c r="F45" s="43">
        <v>2017</v>
      </c>
      <c r="G45" s="43" t="s">
        <v>1684</v>
      </c>
      <c r="H45" s="3" t="str">
        <f t="shared" si="0"/>
        <v>Middle</v>
      </c>
    </row>
    <row r="46" spans="1:8" ht="12.5" customHeight="1">
      <c r="A46" s="43" t="s">
        <v>1685</v>
      </c>
      <c r="B46" s="43" t="s">
        <v>1485</v>
      </c>
      <c r="C46" s="44" t="s">
        <v>1686</v>
      </c>
      <c r="D46" s="43" t="s">
        <v>1687</v>
      </c>
      <c r="E46" s="43" t="s">
        <v>1688</v>
      </c>
      <c r="F46" s="43">
        <v>2021</v>
      </c>
      <c r="G46" s="43" t="s">
        <v>1512</v>
      </c>
      <c r="H46" s="3" t="str">
        <f t="shared" si="0"/>
        <v>Recent</v>
      </c>
    </row>
  </sheetData>
  <hyperlinks>
    <hyperlink ref="C2" r:id="rId1" xr:uid="{00000000-0004-0000-0900-000000000000}"/>
    <hyperlink ref="C4" r:id="rId2" xr:uid="{00000000-0004-0000-0900-000001000000}"/>
    <hyperlink ref="C5" r:id="rId3" xr:uid="{00000000-0004-0000-0900-000002000000}"/>
    <hyperlink ref="C6" r:id="rId4" xr:uid="{00000000-0004-0000-0900-000003000000}"/>
    <hyperlink ref="C7" r:id="rId5" xr:uid="{00000000-0004-0000-0900-000004000000}"/>
    <hyperlink ref="C8" r:id="rId6" xr:uid="{00000000-0004-0000-0900-000005000000}"/>
    <hyperlink ref="C9" r:id="rId7" xr:uid="{00000000-0004-0000-0900-000006000000}"/>
    <hyperlink ref="C10" r:id="rId8" xr:uid="{00000000-0004-0000-0900-000007000000}"/>
    <hyperlink ref="C11" r:id="rId9" xr:uid="{00000000-0004-0000-0900-000008000000}"/>
    <hyperlink ref="C12" r:id="rId10" xr:uid="{00000000-0004-0000-0900-000009000000}"/>
    <hyperlink ref="C14" r:id="rId11" xr:uid="{00000000-0004-0000-0900-00000A000000}"/>
    <hyperlink ref="C15" r:id="rId12" xr:uid="{00000000-0004-0000-0900-00000B000000}"/>
    <hyperlink ref="C16" r:id="rId13" xr:uid="{00000000-0004-0000-0900-00000C000000}"/>
    <hyperlink ref="C18" r:id="rId14" xr:uid="{00000000-0004-0000-0900-00000D000000}"/>
    <hyperlink ref="C19" r:id="rId15" xr:uid="{00000000-0004-0000-0900-00000E000000}"/>
    <hyperlink ref="C20" r:id="rId16" xr:uid="{00000000-0004-0000-0900-00000F000000}"/>
    <hyperlink ref="C21" r:id="rId17" xr:uid="{00000000-0004-0000-0900-000010000000}"/>
    <hyperlink ref="C22" r:id="rId18" xr:uid="{00000000-0004-0000-0900-000011000000}"/>
    <hyperlink ref="C23" r:id="rId19" xr:uid="{00000000-0004-0000-0900-000012000000}"/>
    <hyperlink ref="C24" r:id="rId20" xr:uid="{00000000-0004-0000-0900-000013000000}"/>
    <hyperlink ref="C25" r:id="rId21" xr:uid="{00000000-0004-0000-0900-000014000000}"/>
    <hyperlink ref="C26" r:id="rId22" xr:uid="{00000000-0004-0000-0900-000015000000}"/>
    <hyperlink ref="C27" r:id="rId23" xr:uid="{00000000-0004-0000-0900-000016000000}"/>
    <hyperlink ref="C28" r:id="rId24" xr:uid="{00000000-0004-0000-0900-000017000000}"/>
    <hyperlink ref="C29" r:id="rId25" xr:uid="{00000000-0004-0000-0900-000018000000}"/>
    <hyperlink ref="C30" r:id="rId26" xr:uid="{00000000-0004-0000-0900-000019000000}"/>
    <hyperlink ref="C31" r:id="rId27" xr:uid="{00000000-0004-0000-0900-00001A000000}"/>
    <hyperlink ref="C32" r:id="rId28" xr:uid="{00000000-0004-0000-0900-00001B000000}"/>
    <hyperlink ref="C33" r:id="rId29" xr:uid="{00000000-0004-0000-0900-00001C000000}"/>
    <hyperlink ref="C34" r:id="rId30" xr:uid="{00000000-0004-0000-0900-00001D000000}"/>
    <hyperlink ref="C35" r:id="rId31" xr:uid="{00000000-0004-0000-0900-00001E000000}"/>
    <hyperlink ref="C36" r:id="rId32" xr:uid="{00000000-0004-0000-0900-00001F000000}"/>
    <hyperlink ref="C37" r:id="rId33" xr:uid="{00000000-0004-0000-0900-000020000000}"/>
    <hyperlink ref="C39" r:id="rId34" xr:uid="{00000000-0004-0000-0900-000021000000}"/>
    <hyperlink ref="C40" r:id="rId35" xr:uid="{00000000-0004-0000-0900-000022000000}"/>
    <hyperlink ref="C41" r:id="rId36" xr:uid="{00000000-0004-0000-0900-000023000000}"/>
    <hyperlink ref="C42" r:id="rId37" xr:uid="{00000000-0004-0000-0900-000024000000}"/>
    <hyperlink ref="C43" r:id="rId38" xr:uid="{00000000-0004-0000-0900-000025000000}"/>
    <hyperlink ref="C44" r:id="rId39" xr:uid="{00000000-0004-0000-0900-000026000000}"/>
    <hyperlink ref="C45" r:id="rId40" xr:uid="{00000000-0004-0000-0900-000027000000}"/>
    <hyperlink ref="C46" r:id="rId41" xr:uid="{00000000-0004-0000-0900-000028000000}"/>
  </hyperlink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80"/>
  <sheetViews>
    <sheetView workbookViewId="0"/>
  </sheetViews>
  <sheetFormatPr defaultColWidth="10.90625" defaultRowHeight="12.5"/>
  <cols>
    <col min="3" max="3" width="60.906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48" t="s">
        <v>1689</v>
      </c>
      <c r="B2" s="48" t="s">
        <v>1690</v>
      </c>
      <c r="C2" s="49" t="s">
        <v>1691</v>
      </c>
      <c r="D2" s="48" t="s">
        <v>1692</v>
      </c>
      <c r="E2" s="48" t="s">
        <v>1693</v>
      </c>
      <c r="F2" s="48">
        <v>2011</v>
      </c>
      <c r="G2" s="48" t="s">
        <v>1694</v>
      </c>
      <c r="H2" s="3" t="str">
        <f t="shared" ref="H2:H80" si="0">IF(F2="","",
  IF(F2&lt;=PERCENTILE(IF($B:$B=B2,$F:$F),0.33),"Early",
    IF(F2&lt;=PERCENTILE(IF($B:$B=B2,$F:$F),0.67),"Middle","Recent")))</f>
        <v>Middle</v>
      </c>
    </row>
    <row r="3" spans="1:26" ht="15.75" customHeight="1">
      <c r="A3" s="23" t="s">
        <v>1695</v>
      </c>
      <c r="B3" s="23" t="s">
        <v>1690</v>
      </c>
      <c r="C3" s="23"/>
      <c r="D3" s="23" t="s">
        <v>1696</v>
      </c>
      <c r="E3" s="23" t="s">
        <v>1697</v>
      </c>
      <c r="F3" s="23">
        <v>1996</v>
      </c>
      <c r="G3" s="23" t="s">
        <v>1698</v>
      </c>
      <c r="H3" s="3" t="str">
        <f t="shared" si="0"/>
        <v>Early</v>
      </c>
    </row>
    <row r="4" spans="1:26" ht="15.75" customHeight="1">
      <c r="A4" s="48" t="s">
        <v>1699</v>
      </c>
      <c r="B4" s="48" t="s">
        <v>1690</v>
      </c>
      <c r="C4" s="49" t="s">
        <v>1700</v>
      </c>
      <c r="D4" s="48" t="s">
        <v>1701</v>
      </c>
      <c r="E4" s="48" t="s">
        <v>1702</v>
      </c>
      <c r="F4" s="48">
        <v>2003</v>
      </c>
      <c r="G4" s="48" t="s">
        <v>1703</v>
      </c>
      <c r="H4" s="3" t="str">
        <f t="shared" si="0"/>
        <v>Early</v>
      </c>
    </row>
    <row r="5" spans="1:26" ht="15.75" customHeight="1">
      <c r="A5" s="48" t="s">
        <v>1704</v>
      </c>
      <c r="B5" s="48" t="s">
        <v>1690</v>
      </c>
      <c r="C5" s="49" t="s">
        <v>1705</v>
      </c>
      <c r="D5" s="48" t="s">
        <v>1706</v>
      </c>
      <c r="E5" s="48" t="s">
        <v>1707</v>
      </c>
      <c r="F5" s="48">
        <v>2019</v>
      </c>
      <c r="G5" s="48" t="s">
        <v>1708</v>
      </c>
      <c r="H5" s="3" t="str">
        <f t="shared" si="0"/>
        <v>Recent</v>
      </c>
    </row>
    <row r="6" spans="1:26" ht="15.75" customHeight="1">
      <c r="A6" s="48" t="s">
        <v>1709</v>
      </c>
      <c r="B6" s="48" t="s">
        <v>1690</v>
      </c>
      <c r="C6" s="4" t="s">
        <v>3104</v>
      </c>
      <c r="D6" s="48" t="s">
        <v>1711</v>
      </c>
      <c r="E6" s="48" t="s">
        <v>1712</v>
      </c>
      <c r="F6" s="48">
        <v>2010</v>
      </c>
      <c r="G6" s="48" t="s">
        <v>1713</v>
      </c>
      <c r="H6" s="3" t="str">
        <f t="shared" si="0"/>
        <v>Middle</v>
      </c>
    </row>
    <row r="7" spans="1:26" ht="15.75" customHeight="1">
      <c r="A7" s="48" t="s">
        <v>1714</v>
      </c>
      <c r="B7" s="48" t="s">
        <v>1690</v>
      </c>
      <c r="C7" s="4" t="s">
        <v>3105</v>
      </c>
      <c r="D7" s="48" t="s">
        <v>1716</v>
      </c>
      <c r="E7" s="48" t="s">
        <v>1717</v>
      </c>
      <c r="F7" s="48">
        <v>2013</v>
      </c>
      <c r="G7" s="48" t="s">
        <v>1718</v>
      </c>
      <c r="H7" s="3" t="str">
        <f t="shared" si="0"/>
        <v>Middle</v>
      </c>
    </row>
    <row r="8" spans="1:26" ht="15.75" customHeight="1">
      <c r="A8" s="48" t="s">
        <v>1719</v>
      </c>
      <c r="B8" s="48" t="s">
        <v>1690</v>
      </c>
      <c r="C8" s="49" t="s">
        <v>1720</v>
      </c>
      <c r="D8" s="48" t="s">
        <v>1721</v>
      </c>
      <c r="E8" s="48" t="s">
        <v>1722</v>
      </c>
      <c r="F8" s="48">
        <v>2013</v>
      </c>
      <c r="G8" s="48" t="s">
        <v>1723</v>
      </c>
      <c r="H8" s="3" t="str">
        <f t="shared" si="0"/>
        <v>Middle</v>
      </c>
    </row>
    <row r="9" spans="1:26" ht="15.75" customHeight="1">
      <c r="A9" s="48" t="s">
        <v>1724</v>
      </c>
      <c r="B9" s="48" t="s">
        <v>1690</v>
      </c>
      <c r="C9" s="49" t="s">
        <v>1725</v>
      </c>
      <c r="D9" s="48" t="s">
        <v>1726</v>
      </c>
      <c r="E9" s="48" t="s">
        <v>1727</v>
      </c>
      <c r="F9" s="48">
        <v>2016</v>
      </c>
      <c r="G9" s="48" t="s">
        <v>1728</v>
      </c>
      <c r="H9" s="3" t="str">
        <f t="shared" si="0"/>
        <v>Recent</v>
      </c>
    </row>
    <row r="10" spans="1:26" ht="15.75" customHeight="1">
      <c r="A10" s="48" t="s">
        <v>1729</v>
      </c>
      <c r="B10" s="48" t="s">
        <v>1690</v>
      </c>
      <c r="C10" s="49" t="s">
        <v>1730</v>
      </c>
      <c r="D10" s="48" t="s">
        <v>1731</v>
      </c>
      <c r="E10" s="48" t="s">
        <v>1727</v>
      </c>
      <c r="F10" s="48">
        <v>2015</v>
      </c>
      <c r="G10" s="48" t="s">
        <v>1728</v>
      </c>
      <c r="H10" s="3" t="str">
        <f t="shared" si="0"/>
        <v>Recent</v>
      </c>
    </row>
    <row r="11" spans="1:26" ht="15.75" customHeight="1">
      <c r="A11" s="48" t="s">
        <v>1732</v>
      </c>
      <c r="B11" s="48" t="s">
        <v>1690</v>
      </c>
      <c r="C11" s="49" t="s">
        <v>1733</v>
      </c>
      <c r="D11" s="48" t="s">
        <v>1734</v>
      </c>
      <c r="E11" s="48" t="s">
        <v>1727</v>
      </c>
      <c r="F11" s="48">
        <v>2012</v>
      </c>
      <c r="G11" s="48" t="s">
        <v>1735</v>
      </c>
      <c r="H11" s="3" t="str">
        <f t="shared" si="0"/>
        <v>Middle</v>
      </c>
    </row>
    <row r="12" spans="1:26" ht="15.75" customHeight="1">
      <c r="A12" s="48" t="s">
        <v>1736</v>
      </c>
      <c r="B12" s="48" t="s">
        <v>1690</v>
      </c>
      <c r="C12" s="49" t="s">
        <v>1737</v>
      </c>
      <c r="D12" s="48" t="s">
        <v>1738</v>
      </c>
      <c r="E12" s="48" t="s">
        <v>1739</v>
      </c>
      <c r="F12" s="48">
        <v>2018</v>
      </c>
      <c r="G12" s="48" t="s">
        <v>1723</v>
      </c>
      <c r="H12" s="3" t="str">
        <f t="shared" si="0"/>
        <v>Recent</v>
      </c>
    </row>
    <row r="13" spans="1:26" ht="15.75" customHeight="1">
      <c r="A13" s="23" t="s">
        <v>1740</v>
      </c>
      <c r="B13" s="23" t="s">
        <v>1690</v>
      </c>
      <c r="C13" s="23"/>
      <c r="D13" s="23" t="s">
        <v>1741</v>
      </c>
      <c r="E13" s="23" t="s">
        <v>1742</v>
      </c>
      <c r="F13" s="23">
        <v>2010</v>
      </c>
      <c r="G13" s="23" t="s">
        <v>1743</v>
      </c>
      <c r="H13" s="3" t="str">
        <f t="shared" si="0"/>
        <v>Middle</v>
      </c>
    </row>
    <row r="14" spans="1:26" ht="15.75" customHeight="1">
      <c r="A14" s="48" t="s">
        <v>1744</v>
      </c>
      <c r="B14" s="48" t="s">
        <v>1690</v>
      </c>
      <c r="C14" s="49" t="s">
        <v>1745</v>
      </c>
      <c r="D14" s="48" t="s">
        <v>1746</v>
      </c>
      <c r="E14" s="48" t="s">
        <v>1747</v>
      </c>
      <c r="F14" s="48">
        <v>2003</v>
      </c>
      <c r="G14" s="48" t="s">
        <v>1735</v>
      </c>
      <c r="H14" s="3" t="str">
        <f t="shared" si="0"/>
        <v>Early</v>
      </c>
    </row>
    <row r="15" spans="1:26" ht="15.75" customHeight="1">
      <c r="A15" s="48" t="s">
        <v>1748</v>
      </c>
      <c r="B15" s="48" t="s">
        <v>1690</v>
      </c>
      <c r="C15" s="49" t="s">
        <v>1749</v>
      </c>
      <c r="D15" s="48" t="s">
        <v>1750</v>
      </c>
      <c r="E15" s="48" t="s">
        <v>1751</v>
      </c>
      <c r="F15" s="48">
        <v>2007</v>
      </c>
      <c r="G15" s="48" t="s">
        <v>1708</v>
      </c>
      <c r="H15" s="3" t="str">
        <f t="shared" si="0"/>
        <v>Middle</v>
      </c>
    </row>
    <row r="16" spans="1:26" ht="15.75" customHeight="1">
      <c r="A16" s="48" t="s">
        <v>1752</v>
      </c>
      <c r="B16" s="48" t="s">
        <v>1690</v>
      </c>
      <c r="C16" s="4" t="s">
        <v>3106</v>
      </c>
      <c r="D16" s="48" t="s">
        <v>1754</v>
      </c>
      <c r="E16" s="48" t="s">
        <v>1755</v>
      </c>
      <c r="F16" s="48">
        <v>2010</v>
      </c>
      <c r="G16" s="48" t="s">
        <v>1756</v>
      </c>
      <c r="H16" s="3" t="str">
        <f t="shared" si="0"/>
        <v>Middle</v>
      </c>
    </row>
    <row r="17" spans="1:8" ht="15.75" customHeight="1">
      <c r="A17" s="48" t="s">
        <v>1757</v>
      </c>
      <c r="B17" s="48" t="s">
        <v>1690</v>
      </c>
      <c r="C17" s="49" t="s">
        <v>1758</v>
      </c>
      <c r="D17" s="48" t="s">
        <v>1759</v>
      </c>
      <c r="E17" s="48" t="s">
        <v>1760</v>
      </c>
      <c r="F17" s="48">
        <v>2016</v>
      </c>
      <c r="G17" s="48" t="s">
        <v>1703</v>
      </c>
      <c r="H17" s="3" t="str">
        <f t="shared" si="0"/>
        <v>Recent</v>
      </c>
    </row>
    <row r="18" spans="1:8" ht="15.75" customHeight="1">
      <c r="A18" s="23" t="s">
        <v>1761</v>
      </c>
      <c r="B18" s="23" t="s">
        <v>1690</v>
      </c>
      <c r="C18" s="23"/>
      <c r="D18" s="23" t="s">
        <v>1762</v>
      </c>
      <c r="E18" s="23" t="s">
        <v>1763</v>
      </c>
      <c r="F18" s="23">
        <v>2003</v>
      </c>
      <c r="G18" s="23" t="s">
        <v>1764</v>
      </c>
      <c r="H18" s="3" t="str">
        <f t="shared" si="0"/>
        <v>Early</v>
      </c>
    </row>
    <row r="19" spans="1:8" ht="15.75" customHeight="1">
      <c r="A19" s="48" t="s">
        <v>1765</v>
      </c>
      <c r="B19" s="48" t="s">
        <v>1690</v>
      </c>
      <c r="C19" s="49" t="s">
        <v>3107</v>
      </c>
      <c r="D19" s="48" t="s">
        <v>1767</v>
      </c>
      <c r="E19" s="48" t="s">
        <v>1768</v>
      </c>
      <c r="F19" s="48">
        <v>2020</v>
      </c>
      <c r="G19" s="48" t="s">
        <v>1769</v>
      </c>
      <c r="H19" s="3" t="str">
        <f t="shared" si="0"/>
        <v>Recent</v>
      </c>
    </row>
    <row r="20" spans="1:8" ht="12.5" customHeight="1">
      <c r="A20" s="48" t="s">
        <v>1770</v>
      </c>
      <c r="B20" s="48" t="s">
        <v>1690</v>
      </c>
      <c r="C20" s="49" t="s">
        <v>1771</v>
      </c>
      <c r="D20" s="48" t="s">
        <v>1772</v>
      </c>
      <c r="E20" s="48" t="s">
        <v>1773</v>
      </c>
      <c r="F20" s="48">
        <v>2012</v>
      </c>
      <c r="G20" s="48" t="s">
        <v>1756</v>
      </c>
      <c r="H20" s="3" t="str">
        <f t="shared" si="0"/>
        <v>Middle</v>
      </c>
    </row>
    <row r="21" spans="1:8" ht="12.5" customHeight="1">
      <c r="A21" s="23" t="s">
        <v>1774</v>
      </c>
      <c r="B21" s="23" t="s">
        <v>1690</v>
      </c>
      <c r="C21" s="23"/>
      <c r="D21" s="23" t="s">
        <v>1775</v>
      </c>
      <c r="E21" s="23" t="s">
        <v>1776</v>
      </c>
      <c r="F21" s="23">
        <v>2006</v>
      </c>
      <c r="G21" s="23" t="s">
        <v>1777</v>
      </c>
      <c r="H21" s="3" t="str">
        <f t="shared" si="0"/>
        <v>Middle</v>
      </c>
    </row>
    <row r="22" spans="1:8" ht="12.5" customHeight="1">
      <c r="A22" s="48" t="s">
        <v>1778</v>
      </c>
      <c r="B22" s="48" t="s">
        <v>1690</v>
      </c>
      <c r="C22" s="49" t="s">
        <v>1779</v>
      </c>
      <c r="D22" s="48" t="s">
        <v>1780</v>
      </c>
      <c r="E22" s="48" t="s">
        <v>1781</v>
      </c>
      <c r="F22" s="48">
        <v>2015</v>
      </c>
      <c r="G22" s="48" t="s">
        <v>1782</v>
      </c>
      <c r="H22" s="3" t="str">
        <f t="shared" si="0"/>
        <v>Recent</v>
      </c>
    </row>
    <row r="23" spans="1:8" ht="12.5" customHeight="1">
      <c r="A23" s="48" t="s">
        <v>1783</v>
      </c>
      <c r="B23" s="48" t="s">
        <v>1690</v>
      </c>
      <c r="C23" s="49" t="s">
        <v>1784</v>
      </c>
      <c r="D23" s="48" t="s">
        <v>1785</v>
      </c>
      <c r="E23" s="48" t="s">
        <v>1786</v>
      </c>
      <c r="F23" s="48">
        <v>1999</v>
      </c>
      <c r="G23" s="48" t="s">
        <v>1787</v>
      </c>
      <c r="H23" s="3" t="str">
        <f t="shared" si="0"/>
        <v>Early</v>
      </c>
    </row>
    <row r="24" spans="1:8" ht="12.5" customHeight="1">
      <c r="A24" s="48" t="s">
        <v>1788</v>
      </c>
      <c r="B24" s="48" t="s">
        <v>1690</v>
      </c>
      <c r="C24" s="49" t="s">
        <v>1789</v>
      </c>
      <c r="D24" s="48" t="s">
        <v>1790</v>
      </c>
      <c r="E24" s="48" t="s">
        <v>1791</v>
      </c>
      <c r="F24" s="48">
        <v>2000</v>
      </c>
      <c r="G24" s="48" t="s">
        <v>1723</v>
      </c>
      <c r="H24" s="3" t="str">
        <f t="shared" si="0"/>
        <v>Early</v>
      </c>
    </row>
    <row r="25" spans="1:8" ht="12.5" customHeight="1">
      <c r="A25" s="23" t="s">
        <v>1792</v>
      </c>
      <c r="B25" s="23" t="s">
        <v>1690</v>
      </c>
      <c r="C25" s="23"/>
      <c r="D25" s="23" t="s">
        <v>1793</v>
      </c>
      <c r="E25" s="23" t="s">
        <v>1794</v>
      </c>
      <c r="F25" s="23">
        <v>2014</v>
      </c>
      <c r="G25" s="23" t="s">
        <v>1795</v>
      </c>
      <c r="H25" s="3" t="str">
        <f t="shared" si="0"/>
        <v>Recent</v>
      </c>
    </row>
    <row r="26" spans="1:8" ht="12.5" customHeight="1">
      <c r="A26" s="48" t="s">
        <v>1796</v>
      </c>
      <c r="B26" s="48" t="s">
        <v>1690</v>
      </c>
      <c r="C26" s="25" t="s">
        <v>3108</v>
      </c>
      <c r="D26" s="48" t="s">
        <v>1798</v>
      </c>
      <c r="E26" s="48" t="s">
        <v>1799</v>
      </c>
      <c r="F26" s="48">
        <v>2020</v>
      </c>
      <c r="G26" s="48" t="s">
        <v>1800</v>
      </c>
      <c r="H26" s="3" t="str">
        <f t="shared" si="0"/>
        <v>Recent</v>
      </c>
    </row>
    <row r="27" spans="1:8" ht="12.5" customHeight="1">
      <c r="A27" s="23" t="s">
        <v>1801</v>
      </c>
      <c r="B27" s="23" t="s">
        <v>1690</v>
      </c>
      <c r="C27" s="50"/>
      <c r="D27" s="23" t="s">
        <v>1802</v>
      </c>
      <c r="E27" s="23" t="s">
        <v>1803</v>
      </c>
      <c r="F27" s="23">
        <v>2016</v>
      </c>
      <c r="G27" s="23" t="s">
        <v>1804</v>
      </c>
      <c r="H27" s="3" t="str">
        <f t="shared" si="0"/>
        <v>Recent</v>
      </c>
    </row>
    <row r="28" spans="1:8" ht="12.5" customHeight="1">
      <c r="A28" s="23" t="s">
        <v>1805</v>
      </c>
      <c r="B28" s="23" t="s">
        <v>1690</v>
      </c>
      <c r="C28" s="23"/>
      <c r="D28" s="23" t="s">
        <v>1806</v>
      </c>
      <c r="E28" s="23" t="s">
        <v>1807</v>
      </c>
      <c r="F28" s="23">
        <v>1991</v>
      </c>
      <c r="G28" s="23" t="s">
        <v>1808</v>
      </c>
      <c r="H28" s="3" t="str">
        <f t="shared" si="0"/>
        <v>Early</v>
      </c>
    </row>
    <row r="29" spans="1:8" ht="12.5" customHeight="1">
      <c r="A29" s="48" t="s">
        <v>1809</v>
      </c>
      <c r="B29" s="48" t="s">
        <v>1690</v>
      </c>
      <c r="C29" s="49" t="s">
        <v>1810</v>
      </c>
      <c r="D29" s="48" t="s">
        <v>1811</v>
      </c>
      <c r="E29" s="48" t="s">
        <v>1812</v>
      </c>
      <c r="F29" s="48">
        <v>2006</v>
      </c>
      <c r="G29" s="48" t="s">
        <v>1813</v>
      </c>
      <c r="H29" s="3" t="str">
        <f t="shared" si="0"/>
        <v>Middle</v>
      </c>
    </row>
    <row r="30" spans="1:8" ht="12.5" customHeight="1">
      <c r="A30" s="48" t="s">
        <v>1814</v>
      </c>
      <c r="B30" s="48" t="s">
        <v>1690</v>
      </c>
      <c r="C30" s="49" t="s">
        <v>1815</v>
      </c>
      <c r="D30" s="48" t="s">
        <v>1816</v>
      </c>
      <c r="E30" s="48" t="s">
        <v>1812</v>
      </c>
      <c r="F30" s="48">
        <v>2007</v>
      </c>
      <c r="G30" s="48" t="s">
        <v>1817</v>
      </c>
      <c r="H30" s="3" t="str">
        <f t="shared" si="0"/>
        <v>Middle</v>
      </c>
    </row>
    <row r="31" spans="1:8" ht="12.5" customHeight="1">
      <c r="A31" s="48" t="s">
        <v>1818</v>
      </c>
      <c r="B31" s="48" t="s">
        <v>1690</v>
      </c>
      <c r="C31" s="49" t="s">
        <v>1819</v>
      </c>
      <c r="D31" s="48" t="s">
        <v>1820</v>
      </c>
      <c r="E31" s="48" t="s">
        <v>1821</v>
      </c>
      <c r="F31" s="48">
        <v>2014</v>
      </c>
      <c r="G31" s="48" t="s">
        <v>1822</v>
      </c>
      <c r="H31" s="3" t="str">
        <f t="shared" si="0"/>
        <v>Recent</v>
      </c>
    </row>
    <row r="32" spans="1:8" ht="12.5" customHeight="1">
      <c r="A32" s="48" t="s">
        <v>1823</v>
      </c>
      <c r="B32" s="48" t="s">
        <v>1690</v>
      </c>
      <c r="C32" s="49" t="s">
        <v>1824</v>
      </c>
      <c r="D32" s="48" t="s">
        <v>1825</v>
      </c>
      <c r="E32" s="48" t="s">
        <v>1826</v>
      </c>
      <c r="F32" s="48">
        <v>1994</v>
      </c>
      <c r="G32" s="48" t="s">
        <v>1827</v>
      </c>
      <c r="H32" s="3" t="str">
        <f t="shared" si="0"/>
        <v>Early</v>
      </c>
    </row>
    <row r="33" spans="1:8" ht="12.5" customHeight="1">
      <c r="A33" s="48" t="s">
        <v>1828</v>
      </c>
      <c r="B33" s="48" t="s">
        <v>1690</v>
      </c>
      <c r="C33" s="49" t="s">
        <v>1829</v>
      </c>
      <c r="D33" s="48" t="s">
        <v>1830</v>
      </c>
      <c r="E33" s="48" t="s">
        <v>1826</v>
      </c>
      <c r="F33" s="48">
        <v>2005</v>
      </c>
      <c r="G33" s="48" t="s">
        <v>1831</v>
      </c>
      <c r="H33" s="3" t="str">
        <f t="shared" si="0"/>
        <v>Middle</v>
      </c>
    </row>
    <row r="34" spans="1:8" ht="12.5" customHeight="1">
      <c r="A34" s="48" t="s">
        <v>1832</v>
      </c>
      <c r="B34" s="48" t="s">
        <v>1690</v>
      </c>
      <c r="C34" s="49" t="s">
        <v>1833</v>
      </c>
      <c r="D34" s="48" t="s">
        <v>1834</v>
      </c>
      <c r="E34" s="48" t="s">
        <v>1835</v>
      </c>
      <c r="F34" s="48">
        <v>1998</v>
      </c>
      <c r="G34" s="48" t="s">
        <v>1817</v>
      </c>
      <c r="H34" s="3" t="str">
        <f t="shared" si="0"/>
        <v>Early</v>
      </c>
    </row>
    <row r="35" spans="1:8" ht="12.5" customHeight="1">
      <c r="A35" s="48" t="s">
        <v>1836</v>
      </c>
      <c r="B35" s="48" t="s">
        <v>1690</v>
      </c>
      <c r="C35" s="25" t="s">
        <v>3109</v>
      </c>
      <c r="D35" s="48" t="s">
        <v>1838</v>
      </c>
      <c r="E35" s="48" t="s">
        <v>1839</v>
      </c>
      <c r="F35" s="48">
        <v>1989</v>
      </c>
      <c r="G35" s="48" t="s">
        <v>454</v>
      </c>
      <c r="H35" s="3" t="str">
        <f t="shared" si="0"/>
        <v>Early</v>
      </c>
    </row>
    <row r="36" spans="1:8" ht="12.5" customHeight="1">
      <c r="A36" s="48" t="s">
        <v>1840</v>
      </c>
      <c r="B36" s="48" t="s">
        <v>1690</v>
      </c>
      <c r="C36" s="49" t="s">
        <v>1841</v>
      </c>
      <c r="D36" s="48" t="s">
        <v>1842</v>
      </c>
      <c r="E36" s="48" t="s">
        <v>1843</v>
      </c>
      <c r="F36" s="48">
        <v>2000</v>
      </c>
      <c r="G36" s="48" t="s">
        <v>1844</v>
      </c>
      <c r="H36" s="3" t="str">
        <f t="shared" si="0"/>
        <v>Early</v>
      </c>
    </row>
    <row r="37" spans="1:8" ht="12.5" customHeight="1">
      <c r="A37" s="48" t="s">
        <v>1845</v>
      </c>
      <c r="B37" s="48" t="s">
        <v>1690</v>
      </c>
      <c r="C37" s="51" t="s">
        <v>3110</v>
      </c>
      <c r="D37" s="48" t="s">
        <v>1847</v>
      </c>
      <c r="E37" s="48" t="s">
        <v>1848</v>
      </c>
      <c r="F37" s="48">
        <v>2019</v>
      </c>
      <c r="G37" s="48" t="s">
        <v>1787</v>
      </c>
      <c r="H37" s="3" t="str">
        <f t="shared" si="0"/>
        <v>Recent</v>
      </c>
    </row>
    <row r="38" spans="1:8" ht="12.5" customHeight="1">
      <c r="A38" s="23" t="s">
        <v>1849</v>
      </c>
      <c r="B38" s="23" t="s">
        <v>1690</v>
      </c>
      <c r="C38" s="52"/>
      <c r="D38" s="23" t="s">
        <v>1850</v>
      </c>
      <c r="E38" s="23" t="s">
        <v>1851</v>
      </c>
      <c r="F38" s="23">
        <v>1994</v>
      </c>
      <c r="G38" s="23" t="s">
        <v>1708</v>
      </c>
      <c r="H38" s="3" t="str">
        <f t="shared" si="0"/>
        <v>Early</v>
      </c>
    </row>
    <row r="39" spans="1:8" ht="12.5" customHeight="1">
      <c r="A39" s="48" t="s">
        <v>1852</v>
      </c>
      <c r="B39" s="48" t="s">
        <v>1690</v>
      </c>
      <c r="C39" s="49" t="s">
        <v>1853</v>
      </c>
      <c r="D39" s="48" t="s">
        <v>1854</v>
      </c>
      <c r="E39" s="48" t="s">
        <v>1855</v>
      </c>
      <c r="F39" s="48">
        <v>2014</v>
      </c>
      <c r="G39" s="48" t="s">
        <v>1856</v>
      </c>
      <c r="H39" s="3" t="str">
        <f t="shared" si="0"/>
        <v>Recent</v>
      </c>
    </row>
    <row r="40" spans="1:8" ht="12.5" customHeight="1">
      <c r="A40" s="48" t="s">
        <v>1857</v>
      </c>
      <c r="B40" s="48" t="s">
        <v>1690</v>
      </c>
      <c r="C40" s="49" t="s">
        <v>1858</v>
      </c>
      <c r="D40" s="48" t="s">
        <v>1859</v>
      </c>
      <c r="E40" s="48" t="s">
        <v>1855</v>
      </c>
      <c r="F40" s="48">
        <v>2017</v>
      </c>
      <c r="G40" s="48" t="s">
        <v>1860</v>
      </c>
      <c r="H40" s="3" t="str">
        <f t="shared" si="0"/>
        <v>Recent</v>
      </c>
    </row>
    <row r="41" spans="1:8" ht="12.5" customHeight="1">
      <c r="A41" s="48" t="s">
        <v>1861</v>
      </c>
      <c r="B41" s="48" t="s">
        <v>1690</v>
      </c>
      <c r="C41" s="49" t="s">
        <v>1862</v>
      </c>
      <c r="D41" s="48" t="s">
        <v>1863</v>
      </c>
      <c r="E41" s="48" t="s">
        <v>1864</v>
      </c>
      <c r="F41" s="48">
        <v>2019</v>
      </c>
      <c r="G41" s="48" t="s">
        <v>1787</v>
      </c>
      <c r="H41" s="3" t="str">
        <f t="shared" si="0"/>
        <v>Recent</v>
      </c>
    </row>
    <row r="42" spans="1:8" ht="12.5" customHeight="1">
      <c r="A42" s="48" t="s">
        <v>1865</v>
      </c>
      <c r="B42" s="48" t="s">
        <v>1690</v>
      </c>
      <c r="C42" s="49" t="s">
        <v>1866</v>
      </c>
      <c r="D42" s="48" t="s">
        <v>1867</v>
      </c>
      <c r="E42" s="48" t="s">
        <v>1868</v>
      </c>
      <c r="F42" s="48">
        <v>2019</v>
      </c>
      <c r="G42" s="48" t="s">
        <v>1869</v>
      </c>
      <c r="H42" s="3" t="str">
        <f t="shared" si="0"/>
        <v>Recent</v>
      </c>
    </row>
    <row r="43" spans="1:8" ht="12.5" customHeight="1">
      <c r="A43" s="23" t="s">
        <v>1870</v>
      </c>
      <c r="B43" s="23" t="s">
        <v>1690</v>
      </c>
      <c r="C43" s="23"/>
      <c r="D43" s="23" t="s">
        <v>1871</v>
      </c>
      <c r="E43" s="23" t="s">
        <v>1872</v>
      </c>
      <c r="F43" s="23">
        <v>2010</v>
      </c>
      <c r="G43" s="23" t="s">
        <v>1873</v>
      </c>
      <c r="H43" s="3" t="str">
        <f t="shared" si="0"/>
        <v>Middle</v>
      </c>
    </row>
    <row r="44" spans="1:8" ht="12.5" customHeight="1">
      <c r="A44" s="48" t="s">
        <v>1874</v>
      </c>
      <c r="B44" s="48" t="s">
        <v>1690</v>
      </c>
      <c r="C44" s="49" t="s">
        <v>1875</v>
      </c>
      <c r="D44" s="48" t="s">
        <v>1876</v>
      </c>
      <c r="E44" s="48" t="s">
        <v>1877</v>
      </c>
      <c r="F44" s="48">
        <v>2010</v>
      </c>
      <c r="G44" s="48" t="s">
        <v>1878</v>
      </c>
      <c r="H44" s="3" t="str">
        <f t="shared" si="0"/>
        <v>Middle</v>
      </c>
    </row>
    <row r="45" spans="1:8" ht="12.5" customHeight="1">
      <c r="A45" s="48" t="s">
        <v>1879</v>
      </c>
      <c r="B45" s="48" t="s">
        <v>1690</v>
      </c>
      <c r="C45" s="49" t="s">
        <v>1880</v>
      </c>
      <c r="D45" s="48" t="s">
        <v>1881</v>
      </c>
      <c r="E45" s="48" t="s">
        <v>1882</v>
      </c>
      <c r="F45" s="48">
        <v>2000</v>
      </c>
      <c r="G45" s="48" t="s">
        <v>1735</v>
      </c>
      <c r="H45" s="3" t="str">
        <f t="shared" si="0"/>
        <v>Early</v>
      </c>
    </row>
    <row r="46" spans="1:8" ht="12.5" customHeight="1">
      <c r="A46" s="23" t="s">
        <v>1883</v>
      </c>
      <c r="B46" s="23" t="s">
        <v>1690</v>
      </c>
      <c r="C46" s="23"/>
      <c r="D46" s="23" t="s">
        <v>1884</v>
      </c>
      <c r="E46" s="23" t="s">
        <v>1885</v>
      </c>
      <c r="F46" s="23">
        <v>2019</v>
      </c>
      <c r="G46" s="23" t="s">
        <v>1886</v>
      </c>
      <c r="H46" s="3" t="str">
        <f t="shared" si="0"/>
        <v>Recent</v>
      </c>
    </row>
    <row r="47" spans="1:8" ht="12.5" customHeight="1">
      <c r="A47" s="48" t="s">
        <v>1887</v>
      </c>
      <c r="B47" s="48" t="s">
        <v>1690</v>
      </c>
      <c r="C47" s="49" t="s">
        <v>1888</v>
      </c>
      <c r="D47" s="48" t="s">
        <v>1889</v>
      </c>
      <c r="E47" s="48" t="s">
        <v>1890</v>
      </c>
      <c r="F47" s="48">
        <v>1989</v>
      </c>
      <c r="G47" s="48" t="s">
        <v>1891</v>
      </c>
      <c r="H47" s="3" t="str">
        <f t="shared" si="0"/>
        <v>Early</v>
      </c>
    </row>
    <row r="48" spans="1:8" ht="12.5" customHeight="1">
      <c r="A48" s="48" t="s">
        <v>1892</v>
      </c>
      <c r="B48" s="48" t="s">
        <v>1690</v>
      </c>
      <c r="C48" s="49" t="s">
        <v>1893</v>
      </c>
      <c r="D48" s="48" t="s">
        <v>1894</v>
      </c>
      <c r="E48" s="48" t="s">
        <v>1895</v>
      </c>
      <c r="F48" s="48">
        <v>2006</v>
      </c>
      <c r="G48" s="48" t="s">
        <v>1735</v>
      </c>
      <c r="H48" s="3" t="str">
        <f t="shared" si="0"/>
        <v>Middle</v>
      </c>
    </row>
    <row r="49" spans="1:8" ht="12.5" customHeight="1">
      <c r="A49" s="48" t="s">
        <v>1896</v>
      </c>
      <c r="B49" s="48" t="s">
        <v>1690</v>
      </c>
      <c r="C49" s="49" t="s">
        <v>1897</v>
      </c>
      <c r="D49" s="48" t="s">
        <v>1898</v>
      </c>
      <c r="E49" s="48" t="s">
        <v>1899</v>
      </c>
      <c r="F49" s="48">
        <v>1993</v>
      </c>
      <c r="G49" s="48" t="s">
        <v>1787</v>
      </c>
      <c r="H49" s="3" t="str">
        <f t="shared" si="0"/>
        <v>Early</v>
      </c>
    </row>
    <row r="50" spans="1:8" ht="12.5" customHeight="1">
      <c r="A50" s="48" t="s">
        <v>1900</v>
      </c>
      <c r="B50" s="48" t="s">
        <v>1690</v>
      </c>
      <c r="C50" s="49" t="s">
        <v>1901</v>
      </c>
      <c r="D50" s="48" t="s">
        <v>1902</v>
      </c>
      <c r="E50" s="48" t="s">
        <v>1903</v>
      </c>
      <c r="F50" s="48">
        <v>1997</v>
      </c>
      <c r="G50" s="48" t="s">
        <v>1904</v>
      </c>
      <c r="H50" s="3" t="str">
        <f t="shared" si="0"/>
        <v>Early</v>
      </c>
    </row>
    <row r="51" spans="1:8" ht="12.5" customHeight="1">
      <c r="A51" s="48" t="s">
        <v>1905</v>
      </c>
      <c r="B51" s="48" t="s">
        <v>1690</v>
      </c>
      <c r="C51" s="49" t="s">
        <v>1906</v>
      </c>
      <c r="D51" s="48" t="s">
        <v>1907</v>
      </c>
      <c r="E51" s="48" t="s">
        <v>1908</v>
      </c>
      <c r="F51" s="48">
        <v>1995</v>
      </c>
      <c r="G51" s="48" t="s">
        <v>1909</v>
      </c>
      <c r="H51" s="3" t="str">
        <f t="shared" si="0"/>
        <v>Early</v>
      </c>
    </row>
    <row r="52" spans="1:8" ht="12.5" customHeight="1">
      <c r="A52" s="48" t="s">
        <v>1910</v>
      </c>
      <c r="B52" s="48" t="s">
        <v>1690</v>
      </c>
      <c r="C52" s="49" t="s">
        <v>1911</v>
      </c>
      <c r="D52" s="48" t="s">
        <v>1912</v>
      </c>
      <c r="E52" s="48" t="s">
        <v>1913</v>
      </c>
      <c r="F52" s="48">
        <v>2007</v>
      </c>
      <c r="G52" s="48" t="s">
        <v>1914</v>
      </c>
      <c r="H52" s="3" t="str">
        <f t="shared" si="0"/>
        <v>Middle</v>
      </c>
    </row>
    <row r="53" spans="1:8" ht="12.5" customHeight="1">
      <c r="A53" s="48" t="s">
        <v>1915</v>
      </c>
      <c r="B53" s="48" t="s">
        <v>1690</v>
      </c>
      <c r="C53" s="49" t="s">
        <v>1916</v>
      </c>
      <c r="D53" s="48" t="s">
        <v>1917</v>
      </c>
      <c r="E53" s="48" t="s">
        <v>1918</v>
      </c>
      <c r="F53" s="48">
        <v>2013</v>
      </c>
      <c r="G53" s="48" t="s">
        <v>1787</v>
      </c>
      <c r="H53" s="3" t="str">
        <f t="shared" si="0"/>
        <v>Middle</v>
      </c>
    </row>
    <row r="54" spans="1:8" ht="12.5" customHeight="1">
      <c r="A54" s="48" t="s">
        <v>1919</v>
      </c>
      <c r="B54" s="48" t="s">
        <v>1690</v>
      </c>
      <c r="C54" s="49" t="s">
        <v>1920</v>
      </c>
      <c r="D54" s="48" t="s">
        <v>1921</v>
      </c>
      <c r="E54" s="48" t="s">
        <v>1918</v>
      </c>
      <c r="F54" s="48">
        <v>2001</v>
      </c>
      <c r="G54" s="48" t="s">
        <v>454</v>
      </c>
      <c r="H54" s="3" t="str">
        <f t="shared" si="0"/>
        <v>Early</v>
      </c>
    </row>
    <row r="55" spans="1:8" ht="12.5" customHeight="1">
      <c r="A55" s="23" t="s">
        <v>1922</v>
      </c>
      <c r="B55" s="23" t="s">
        <v>1690</v>
      </c>
      <c r="C55" s="23"/>
      <c r="D55" s="23" t="s">
        <v>1923</v>
      </c>
      <c r="E55" s="23" t="s">
        <v>1924</v>
      </c>
      <c r="F55" s="23">
        <v>2013</v>
      </c>
      <c r="G55" s="23" t="s">
        <v>1925</v>
      </c>
      <c r="H55" s="3" t="str">
        <f t="shared" si="0"/>
        <v>Middle</v>
      </c>
    </row>
    <row r="56" spans="1:8" ht="12.5" customHeight="1">
      <c r="A56" s="23" t="s">
        <v>1926</v>
      </c>
      <c r="B56" s="23" t="s">
        <v>1690</v>
      </c>
      <c r="C56" s="23"/>
      <c r="D56" s="23" t="s">
        <v>1927</v>
      </c>
      <c r="E56" s="23" t="s">
        <v>1928</v>
      </c>
      <c r="F56" s="23">
        <v>2002</v>
      </c>
      <c r="G56" s="23" t="s">
        <v>1708</v>
      </c>
      <c r="H56" s="3" t="str">
        <f t="shared" si="0"/>
        <v>Early</v>
      </c>
    </row>
    <row r="57" spans="1:8" ht="12.5" customHeight="1">
      <c r="A57" s="23" t="s">
        <v>1929</v>
      </c>
      <c r="B57" s="23" t="s">
        <v>1690</v>
      </c>
      <c r="C57" s="23"/>
      <c r="D57" s="23" t="s">
        <v>1930</v>
      </c>
      <c r="E57" s="23" t="s">
        <v>1931</v>
      </c>
      <c r="F57" s="23">
        <v>2006</v>
      </c>
      <c r="G57" s="23" t="s">
        <v>1708</v>
      </c>
      <c r="H57" s="3" t="str">
        <f t="shared" si="0"/>
        <v>Middle</v>
      </c>
    </row>
    <row r="58" spans="1:8" ht="12.5" customHeight="1">
      <c r="A58" s="48" t="s">
        <v>1932</v>
      </c>
      <c r="B58" s="48" t="s">
        <v>1690</v>
      </c>
      <c r="C58" s="49" t="s">
        <v>1933</v>
      </c>
      <c r="D58" s="48" t="s">
        <v>1934</v>
      </c>
      <c r="E58" s="48" t="s">
        <v>1935</v>
      </c>
      <c r="F58" s="48">
        <v>2009</v>
      </c>
      <c r="G58" s="48" t="s">
        <v>1787</v>
      </c>
      <c r="H58" s="3" t="str">
        <f t="shared" si="0"/>
        <v>Middle</v>
      </c>
    </row>
    <row r="59" spans="1:8" ht="12.5" customHeight="1">
      <c r="A59" s="48" t="s">
        <v>1936</v>
      </c>
      <c r="B59" s="48" t="s">
        <v>1690</v>
      </c>
      <c r="C59" s="49" t="s">
        <v>1937</v>
      </c>
      <c r="D59" s="48" t="s">
        <v>1938</v>
      </c>
      <c r="E59" s="48" t="s">
        <v>1939</v>
      </c>
      <c r="F59" s="48">
        <v>2019</v>
      </c>
      <c r="G59" s="48" t="s">
        <v>1787</v>
      </c>
      <c r="H59" s="3" t="str">
        <f t="shared" si="0"/>
        <v>Recent</v>
      </c>
    </row>
    <row r="60" spans="1:8" ht="12.5" customHeight="1">
      <c r="A60" s="48" t="s">
        <v>1940</v>
      </c>
      <c r="B60" s="48" t="s">
        <v>1690</v>
      </c>
      <c r="C60" s="49" t="s">
        <v>1941</v>
      </c>
      <c r="D60" s="48" t="s">
        <v>1942</v>
      </c>
      <c r="E60" s="48" t="s">
        <v>1943</v>
      </c>
      <c r="F60" s="48">
        <v>2007</v>
      </c>
      <c r="G60" s="48" t="s">
        <v>1787</v>
      </c>
      <c r="H60" s="3" t="str">
        <f t="shared" si="0"/>
        <v>Middle</v>
      </c>
    </row>
    <row r="61" spans="1:8" ht="12.5" customHeight="1">
      <c r="A61" s="23" t="s">
        <v>1944</v>
      </c>
      <c r="B61" s="23" t="s">
        <v>1690</v>
      </c>
      <c r="C61" s="23"/>
      <c r="D61" s="23" t="s">
        <v>1945</v>
      </c>
      <c r="E61" s="23" t="s">
        <v>1946</v>
      </c>
      <c r="F61" s="23">
        <v>2017</v>
      </c>
      <c r="G61" s="23" t="s">
        <v>1947</v>
      </c>
      <c r="H61" s="3" t="str">
        <f t="shared" si="0"/>
        <v>Recent</v>
      </c>
    </row>
    <row r="62" spans="1:8" ht="12.5" customHeight="1">
      <c r="A62" s="48" t="s">
        <v>1948</v>
      </c>
      <c r="B62" s="48" t="s">
        <v>1690</v>
      </c>
      <c r="C62" s="49" t="s">
        <v>1949</v>
      </c>
      <c r="D62" s="48" t="s">
        <v>1950</v>
      </c>
      <c r="E62" s="48" t="s">
        <v>1951</v>
      </c>
      <c r="F62" s="48">
        <v>1988</v>
      </c>
      <c r="G62" s="48" t="s">
        <v>1952</v>
      </c>
      <c r="H62" s="3" t="str">
        <f t="shared" si="0"/>
        <v>Early</v>
      </c>
    </row>
    <row r="63" spans="1:8" ht="12.5" customHeight="1">
      <c r="A63" s="48" t="s">
        <v>1953</v>
      </c>
      <c r="B63" s="48" t="s">
        <v>1690</v>
      </c>
      <c r="C63" s="49" t="s">
        <v>1954</v>
      </c>
      <c r="D63" s="48" t="s">
        <v>1955</v>
      </c>
      <c r="E63" s="48" t="s">
        <v>1956</v>
      </c>
      <c r="F63" s="48">
        <v>2016</v>
      </c>
      <c r="G63" s="48" t="s">
        <v>1957</v>
      </c>
      <c r="H63" s="3" t="str">
        <f t="shared" si="0"/>
        <v>Recent</v>
      </c>
    </row>
    <row r="64" spans="1:8" ht="12.5" customHeight="1">
      <c r="A64" s="23" t="s">
        <v>1958</v>
      </c>
      <c r="B64" s="23" t="s">
        <v>1690</v>
      </c>
      <c r="C64" s="23"/>
      <c r="D64" s="23" t="s">
        <v>1959</v>
      </c>
      <c r="E64" s="23" t="s">
        <v>1960</v>
      </c>
      <c r="F64" s="23">
        <v>1989</v>
      </c>
      <c r="G64" s="23" t="s">
        <v>1961</v>
      </c>
      <c r="H64" s="3" t="str">
        <f t="shared" si="0"/>
        <v>Early</v>
      </c>
    </row>
    <row r="65" spans="1:8" ht="12.5" customHeight="1">
      <c r="A65" s="48" t="s">
        <v>1962</v>
      </c>
      <c r="B65" s="48" t="s">
        <v>1690</v>
      </c>
      <c r="C65" s="49" t="s">
        <v>1963</v>
      </c>
      <c r="D65" s="48" t="s">
        <v>1964</v>
      </c>
      <c r="E65" s="48" t="s">
        <v>1965</v>
      </c>
      <c r="F65" s="48">
        <v>2019</v>
      </c>
      <c r="G65" s="48" t="s">
        <v>1703</v>
      </c>
      <c r="H65" s="3" t="str">
        <f t="shared" si="0"/>
        <v>Recent</v>
      </c>
    </row>
    <row r="66" spans="1:8" ht="12.5" customHeight="1">
      <c r="A66" s="23" t="s">
        <v>1966</v>
      </c>
      <c r="B66" s="23" t="s">
        <v>1690</v>
      </c>
      <c r="C66" s="23"/>
      <c r="D66" s="23" t="s">
        <v>1967</v>
      </c>
      <c r="E66" s="23" t="s">
        <v>1968</v>
      </c>
      <c r="F66" s="23">
        <v>2009</v>
      </c>
      <c r="G66" s="23" t="s">
        <v>1969</v>
      </c>
      <c r="H66" s="3" t="str">
        <f t="shared" si="0"/>
        <v>Middle</v>
      </c>
    </row>
    <row r="67" spans="1:8" ht="12.5" customHeight="1">
      <c r="A67" s="48" t="s">
        <v>1970</v>
      </c>
      <c r="B67" s="48" t="s">
        <v>1690</v>
      </c>
      <c r="C67" s="49" t="s">
        <v>1971</v>
      </c>
      <c r="D67" s="48" t="s">
        <v>1972</v>
      </c>
      <c r="E67" s="48" t="s">
        <v>1973</v>
      </c>
      <c r="F67" s="48">
        <v>2000</v>
      </c>
      <c r="G67" s="48" t="s">
        <v>1703</v>
      </c>
      <c r="H67" s="3" t="str">
        <f t="shared" si="0"/>
        <v>Early</v>
      </c>
    </row>
    <row r="68" spans="1:8" ht="12.5" customHeight="1">
      <c r="A68" s="48" t="s">
        <v>1974</v>
      </c>
      <c r="B68" s="48" t="s">
        <v>1690</v>
      </c>
      <c r="C68" s="49" t="s">
        <v>1975</v>
      </c>
      <c r="D68" s="48" t="s">
        <v>1976</v>
      </c>
      <c r="E68" s="48" t="s">
        <v>1977</v>
      </c>
      <c r="F68" s="48">
        <v>2006</v>
      </c>
      <c r="G68" s="48" t="s">
        <v>1703</v>
      </c>
      <c r="H68" s="3" t="str">
        <f t="shared" si="0"/>
        <v>Middle</v>
      </c>
    </row>
    <row r="69" spans="1:8" ht="12.5" customHeight="1">
      <c r="A69" s="48" t="s">
        <v>1978</v>
      </c>
      <c r="B69" s="48" t="s">
        <v>1690</v>
      </c>
      <c r="C69" s="49" t="s">
        <v>1979</v>
      </c>
      <c r="D69" s="48" t="s">
        <v>1980</v>
      </c>
      <c r="E69" s="48" t="s">
        <v>1981</v>
      </c>
      <c r="F69" s="48">
        <v>2013</v>
      </c>
      <c r="G69" s="48" t="s">
        <v>1728</v>
      </c>
      <c r="H69" s="3" t="str">
        <f t="shared" si="0"/>
        <v>Middle</v>
      </c>
    </row>
    <row r="70" spans="1:8" ht="12.5" customHeight="1">
      <c r="A70" s="48" t="s">
        <v>1982</v>
      </c>
      <c r="B70" s="48" t="s">
        <v>1690</v>
      </c>
      <c r="C70" s="49" t="s">
        <v>1983</v>
      </c>
      <c r="D70" s="48" t="s">
        <v>1984</v>
      </c>
      <c r="E70" s="48" t="s">
        <v>1985</v>
      </c>
      <c r="F70" s="48">
        <v>2016</v>
      </c>
      <c r="G70" s="48" t="s">
        <v>1787</v>
      </c>
      <c r="H70" s="3" t="str">
        <f t="shared" si="0"/>
        <v>Recent</v>
      </c>
    </row>
    <row r="71" spans="1:8" ht="12.5" customHeight="1">
      <c r="A71" s="23" t="s">
        <v>1986</v>
      </c>
      <c r="B71" s="23" t="s">
        <v>1690</v>
      </c>
      <c r="C71" s="23"/>
      <c r="D71" s="23" t="s">
        <v>1987</v>
      </c>
      <c r="E71" s="23" t="s">
        <v>1988</v>
      </c>
      <c r="F71" s="23">
        <v>2017</v>
      </c>
      <c r="G71" s="23" t="s">
        <v>1989</v>
      </c>
      <c r="H71" s="3" t="str">
        <f t="shared" si="0"/>
        <v>Recent</v>
      </c>
    </row>
    <row r="72" spans="1:8" ht="12.5" customHeight="1">
      <c r="A72" s="23" t="s">
        <v>1990</v>
      </c>
      <c r="B72" s="23" t="s">
        <v>1690</v>
      </c>
      <c r="C72" s="23"/>
      <c r="D72" s="23" t="s">
        <v>1991</v>
      </c>
      <c r="E72" s="23" t="s">
        <v>1992</v>
      </c>
      <c r="F72" s="23">
        <v>2003</v>
      </c>
      <c r="G72" s="23" t="s">
        <v>1993</v>
      </c>
      <c r="H72" s="3" t="str">
        <f t="shared" si="0"/>
        <v>Early</v>
      </c>
    </row>
    <row r="73" spans="1:8" ht="12.5" customHeight="1">
      <c r="A73" s="48" t="s">
        <v>1994</v>
      </c>
      <c r="B73" s="48" t="s">
        <v>1690</v>
      </c>
      <c r="C73" s="49" t="s">
        <v>1995</v>
      </c>
      <c r="D73" s="48" t="s">
        <v>1996</v>
      </c>
      <c r="E73" s="48" t="s">
        <v>1997</v>
      </c>
      <c r="F73" s="48">
        <v>2014</v>
      </c>
      <c r="G73" s="48" t="s">
        <v>1787</v>
      </c>
      <c r="H73" s="3" t="str">
        <f t="shared" si="0"/>
        <v>Recent</v>
      </c>
    </row>
    <row r="74" spans="1:8" ht="12.5" customHeight="1">
      <c r="A74" s="48" t="s">
        <v>1998</v>
      </c>
      <c r="B74" s="48" t="s">
        <v>1690</v>
      </c>
      <c r="C74" s="49" t="s">
        <v>1999</v>
      </c>
      <c r="D74" s="48" t="s">
        <v>2000</v>
      </c>
      <c r="E74" s="48" t="s">
        <v>2001</v>
      </c>
      <c r="F74" s="48">
        <v>2000</v>
      </c>
      <c r="G74" s="48" t="s">
        <v>1787</v>
      </c>
      <c r="H74" s="3" t="str">
        <f t="shared" si="0"/>
        <v>Early</v>
      </c>
    </row>
    <row r="75" spans="1:8" ht="12.5" customHeight="1">
      <c r="A75" s="48" t="s">
        <v>2002</v>
      </c>
      <c r="B75" s="48" t="s">
        <v>1690</v>
      </c>
      <c r="C75" s="49" t="s">
        <v>2003</v>
      </c>
      <c r="D75" s="48" t="s">
        <v>2004</v>
      </c>
      <c r="E75" s="48" t="s">
        <v>2005</v>
      </c>
      <c r="F75" s="48">
        <v>2002</v>
      </c>
      <c r="G75" s="48" t="s">
        <v>1813</v>
      </c>
      <c r="H75" s="3" t="str">
        <f t="shared" si="0"/>
        <v>Early</v>
      </c>
    </row>
    <row r="76" spans="1:8" ht="12.5" customHeight="1">
      <c r="A76" s="48" t="s">
        <v>2006</v>
      </c>
      <c r="B76" s="48" t="s">
        <v>1690</v>
      </c>
      <c r="C76" s="49" t="s">
        <v>2007</v>
      </c>
      <c r="D76" s="48" t="s">
        <v>2008</v>
      </c>
      <c r="E76" s="48" t="s">
        <v>2005</v>
      </c>
      <c r="F76" s="48">
        <v>1998</v>
      </c>
      <c r="G76" s="48" t="s">
        <v>1787</v>
      </c>
      <c r="H76" s="3" t="str">
        <f t="shared" si="0"/>
        <v>Early</v>
      </c>
    </row>
    <row r="77" spans="1:8" ht="12.5" customHeight="1">
      <c r="A77" s="23" t="s">
        <v>2009</v>
      </c>
      <c r="B77" s="23" t="s">
        <v>1690</v>
      </c>
      <c r="C77" s="23"/>
      <c r="D77" s="23" t="s">
        <v>2010</v>
      </c>
      <c r="E77" s="23" t="s">
        <v>2011</v>
      </c>
      <c r="F77" s="23">
        <v>2010</v>
      </c>
      <c r="G77" s="23" t="s">
        <v>2012</v>
      </c>
      <c r="H77" s="3" t="str">
        <f t="shared" si="0"/>
        <v>Middle</v>
      </c>
    </row>
    <row r="78" spans="1:8" ht="12.5" customHeight="1">
      <c r="A78" s="48" t="s">
        <v>2013</v>
      </c>
      <c r="B78" s="48" t="s">
        <v>1690</v>
      </c>
      <c r="C78" s="49" t="s">
        <v>2014</v>
      </c>
      <c r="D78" s="48" t="s">
        <v>2015</v>
      </c>
      <c r="E78" s="48" t="s">
        <v>2016</v>
      </c>
      <c r="F78" s="48">
        <v>2020</v>
      </c>
      <c r="G78" s="48" t="s">
        <v>2017</v>
      </c>
      <c r="H78" s="3" t="str">
        <f t="shared" si="0"/>
        <v>Recent</v>
      </c>
    </row>
    <row r="79" spans="1:8" ht="12.5" customHeight="1">
      <c r="A79" s="48" t="s">
        <v>2018</v>
      </c>
      <c r="B79" s="48" t="s">
        <v>1690</v>
      </c>
      <c r="C79" s="49" t="s">
        <v>2019</v>
      </c>
      <c r="D79" s="48" t="s">
        <v>2020</v>
      </c>
      <c r="E79" s="48" t="s">
        <v>2021</v>
      </c>
      <c r="F79" s="48">
        <v>2014</v>
      </c>
      <c r="G79" s="48" t="s">
        <v>368</v>
      </c>
      <c r="H79" s="3" t="str">
        <f t="shared" si="0"/>
        <v>Recent</v>
      </c>
    </row>
    <row r="80" spans="1:8" ht="12.5" customHeight="1">
      <c r="A80" s="48" t="s">
        <v>2022</v>
      </c>
      <c r="B80" s="48" t="s">
        <v>1690</v>
      </c>
      <c r="C80" s="49" t="s">
        <v>2023</v>
      </c>
      <c r="D80" s="48" t="s">
        <v>2024</v>
      </c>
      <c r="E80" s="48" t="s">
        <v>2025</v>
      </c>
      <c r="F80" s="48">
        <v>2010</v>
      </c>
      <c r="G80" s="48" t="s">
        <v>2026</v>
      </c>
      <c r="H80" s="3" t="str">
        <f t="shared" si="0"/>
        <v>Middle</v>
      </c>
    </row>
  </sheetData>
  <hyperlinks>
    <hyperlink ref="C2" r:id="rId1" xr:uid="{00000000-0004-0000-0A00-000000000000}"/>
    <hyperlink ref="C4" r:id="rId2" xr:uid="{00000000-0004-0000-0A00-000001000000}"/>
    <hyperlink ref="C5" r:id="rId3" xr:uid="{00000000-0004-0000-0A00-000002000000}"/>
    <hyperlink ref="C6" r:id="rId4" xr:uid="{00000000-0004-0000-0A00-000003000000}"/>
    <hyperlink ref="C7" r:id="rId5" xr:uid="{00000000-0004-0000-0A00-000004000000}"/>
    <hyperlink ref="C8" r:id="rId6" xr:uid="{00000000-0004-0000-0A00-000005000000}"/>
    <hyperlink ref="C9" r:id="rId7" xr:uid="{00000000-0004-0000-0A00-000006000000}"/>
    <hyperlink ref="C10" r:id="rId8" xr:uid="{00000000-0004-0000-0A00-000007000000}"/>
    <hyperlink ref="C11" r:id="rId9" xr:uid="{00000000-0004-0000-0A00-000008000000}"/>
    <hyperlink ref="C12" r:id="rId10" xr:uid="{00000000-0004-0000-0A00-000009000000}"/>
    <hyperlink ref="C14" r:id="rId11" xr:uid="{00000000-0004-0000-0A00-00000A000000}"/>
    <hyperlink ref="C15" r:id="rId12" xr:uid="{00000000-0004-0000-0A00-00000B000000}"/>
    <hyperlink ref="C16" r:id="rId13" xr:uid="{00000000-0004-0000-0A00-00000C000000}"/>
    <hyperlink ref="C17" r:id="rId14" xr:uid="{00000000-0004-0000-0A00-00000D000000}"/>
    <hyperlink ref="C19" r:id="rId15" xr:uid="{00000000-0004-0000-0A00-00000E000000}"/>
    <hyperlink ref="C20" r:id="rId16" xr:uid="{00000000-0004-0000-0A00-00000F000000}"/>
    <hyperlink ref="C22" r:id="rId17" xr:uid="{00000000-0004-0000-0A00-000010000000}"/>
    <hyperlink ref="C23" r:id="rId18" xr:uid="{00000000-0004-0000-0A00-000011000000}"/>
    <hyperlink ref="C24" r:id="rId19" xr:uid="{00000000-0004-0000-0A00-000012000000}"/>
    <hyperlink ref="C26" r:id="rId20" xr:uid="{00000000-0004-0000-0A00-000013000000}"/>
    <hyperlink ref="C29" r:id="rId21" xr:uid="{00000000-0004-0000-0A00-000014000000}"/>
    <hyperlink ref="C30" r:id="rId22" xr:uid="{00000000-0004-0000-0A00-000015000000}"/>
    <hyperlink ref="C31" r:id="rId23" xr:uid="{00000000-0004-0000-0A00-000016000000}"/>
    <hyperlink ref="C32" r:id="rId24" xr:uid="{00000000-0004-0000-0A00-000017000000}"/>
    <hyperlink ref="C33" r:id="rId25" xr:uid="{00000000-0004-0000-0A00-000018000000}"/>
    <hyperlink ref="C34" r:id="rId26" xr:uid="{00000000-0004-0000-0A00-000019000000}"/>
    <hyperlink ref="C35" r:id="rId27" xr:uid="{00000000-0004-0000-0A00-00001A000000}"/>
    <hyperlink ref="C36" r:id="rId28" xr:uid="{00000000-0004-0000-0A00-00001B000000}"/>
    <hyperlink ref="C37" r:id="rId29" xr:uid="{00000000-0004-0000-0A00-00001C000000}"/>
    <hyperlink ref="C39" r:id="rId30" xr:uid="{00000000-0004-0000-0A00-00001D000000}"/>
    <hyperlink ref="C40" r:id="rId31" xr:uid="{00000000-0004-0000-0A00-00001E000000}"/>
    <hyperlink ref="C41" r:id="rId32" xr:uid="{00000000-0004-0000-0A00-00001F000000}"/>
    <hyperlink ref="C42" r:id="rId33" xr:uid="{00000000-0004-0000-0A00-000020000000}"/>
    <hyperlink ref="C44" r:id="rId34" xr:uid="{00000000-0004-0000-0A00-000021000000}"/>
    <hyperlink ref="C45" r:id="rId35" xr:uid="{00000000-0004-0000-0A00-000022000000}"/>
    <hyperlink ref="C47" r:id="rId36" xr:uid="{00000000-0004-0000-0A00-000023000000}"/>
    <hyperlink ref="C48" r:id="rId37" xr:uid="{00000000-0004-0000-0A00-000024000000}"/>
    <hyperlink ref="C49" r:id="rId38" xr:uid="{00000000-0004-0000-0A00-000025000000}"/>
    <hyperlink ref="C50" r:id="rId39" xr:uid="{00000000-0004-0000-0A00-000026000000}"/>
    <hyperlink ref="C51" r:id="rId40" xr:uid="{00000000-0004-0000-0A00-000027000000}"/>
    <hyperlink ref="C52" r:id="rId41" xr:uid="{00000000-0004-0000-0A00-000028000000}"/>
    <hyperlink ref="C53" r:id="rId42" xr:uid="{00000000-0004-0000-0A00-000029000000}"/>
    <hyperlink ref="C54" r:id="rId43" xr:uid="{00000000-0004-0000-0A00-00002A000000}"/>
    <hyperlink ref="C58" r:id="rId44" xr:uid="{00000000-0004-0000-0A00-00002B000000}"/>
    <hyperlink ref="C59" r:id="rId45" xr:uid="{00000000-0004-0000-0A00-00002C000000}"/>
    <hyperlink ref="C60" r:id="rId46" xr:uid="{00000000-0004-0000-0A00-00002D000000}"/>
    <hyperlink ref="C62" r:id="rId47" xr:uid="{00000000-0004-0000-0A00-00002E000000}"/>
    <hyperlink ref="C63" r:id="rId48" xr:uid="{00000000-0004-0000-0A00-00002F000000}"/>
    <hyperlink ref="C65" r:id="rId49" xr:uid="{00000000-0004-0000-0A00-000030000000}"/>
    <hyperlink ref="C67" r:id="rId50" xr:uid="{00000000-0004-0000-0A00-000031000000}"/>
    <hyperlink ref="C68" r:id="rId51" xr:uid="{00000000-0004-0000-0A00-000032000000}"/>
    <hyperlink ref="C69" r:id="rId52" xr:uid="{00000000-0004-0000-0A00-000033000000}"/>
    <hyperlink ref="C70" r:id="rId53" xr:uid="{00000000-0004-0000-0A00-000034000000}"/>
    <hyperlink ref="C73" r:id="rId54" xr:uid="{00000000-0004-0000-0A00-000035000000}"/>
    <hyperlink ref="C74" r:id="rId55" xr:uid="{00000000-0004-0000-0A00-000036000000}"/>
    <hyperlink ref="C75" r:id="rId56" xr:uid="{00000000-0004-0000-0A00-000037000000}"/>
    <hyperlink ref="C76" r:id="rId57" xr:uid="{00000000-0004-0000-0A00-000038000000}"/>
    <hyperlink ref="C78" r:id="rId58" xr:uid="{00000000-0004-0000-0A00-000039000000}"/>
    <hyperlink ref="C79" r:id="rId59" xr:uid="{00000000-0004-0000-0A00-00003A000000}"/>
    <hyperlink ref="C80" r:id="rId60" xr:uid="{00000000-0004-0000-0A00-00003B000000}"/>
  </hyperlink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48"/>
  <sheetViews>
    <sheetView workbookViewId="0"/>
  </sheetViews>
  <sheetFormatPr defaultColWidth="10.90625" defaultRowHeight="12.5"/>
  <cols>
    <col min="3" max="3" width="40.72656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53" t="s">
        <v>2027</v>
      </c>
      <c r="B2" s="53" t="s">
        <v>2028</v>
      </c>
      <c r="C2" s="54" t="s">
        <v>2029</v>
      </c>
      <c r="D2" s="53" t="s">
        <v>2030</v>
      </c>
      <c r="E2" s="53" t="s">
        <v>2031</v>
      </c>
      <c r="F2" s="53">
        <v>2015</v>
      </c>
      <c r="G2" s="53" t="s">
        <v>2032</v>
      </c>
      <c r="H2" s="3" t="str">
        <f t="shared" ref="H2:H48" si="0">IF(F2="","",
  IF(F2&lt;=PERCENTILE(IF($B:$B=B2,$F:$F),0.33),"Early",
    IF(F2&lt;=PERCENTILE(IF($B:$B=B2,$F:$F),0.67),"Middle","Recent")))</f>
        <v>Middle</v>
      </c>
    </row>
    <row r="3" spans="1:26" ht="15.75" customHeight="1">
      <c r="A3" s="53" t="s">
        <v>2033</v>
      </c>
      <c r="B3" s="53" t="s">
        <v>2028</v>
      </c>
      <c r="C3" s="54" t="s">
        <v>2034</v>
      </c>
      <c r="D3" s="53" t="s">
        <v>2035</v>
      </c>
      <c r="E3" s="53" t="s">
        <v>2036</v>
      </c>
      <c r="F3" s="53">
        <v>1994</v>
      </c>
      <c r="G3" s="53" t="s">
        <v>2037</v>
      </c>
      <c r="H3" s="3" t="str">
        <f t="shared" si="0"/>
        <v>Early</v>
      </c>
    </row>
    <row r="4" spans="1:26" ht="15.75" customHeight="1">
      <c r="A4" s="53" t="s">
        <v>2038</v>
      </c>
      <c r="B4" s="53" t="s">
        <v>2028</v>
      </c>
      <c r="C4" s="54" t="s">
        <v>2039</v>
      </c>
      <c r="D4" s="53" t="s">
        <v>2040</v>
      </c>
      <c r="E4" s="53" t="s">
        <v>2036</v>
      </c>
      <c r="F4" s="53">
        <v>1997</v>
      </c>
      <c r="G4" s="53" t="s">
        <v>2041</v>
      </c>
      <c r="H4" s="3" t="str">
        <f t="shared" si="0"/>
        <v>Early</v>
      </c>
    </row>
    <row r="5" spans="1:26" ht="15.75" customHeight="1">
      <c r="A5" s="53" t="s">
        <v>2042</v>
      </c>
      <c r="B5" s="53" t="s">
        <v>2028</v>
      </c>
      <c r="C5" s="54" t="s">
        <v>2043</v>
      </c>
      <c r="D5" s="53" t="s">
        <v>2044</v>
      </c>
      <c r="E5" s="53" t="s">
        <v>2045</v>
      </c>
      <c r="F5" s="53">
        <v>2016</v>
      </c>
      <c r="G5" s="53" t="s">
        <v>2032</v>
      </c>
      <c r="H5" s="3" t="str">
        <f t="shared" si="0"/>
        <v>Recent</v>
      </c>
    </row>
    <row r="6" spans="1:26" ht="15.75" customHeight="1">
      <c r="A6" s="53" t="s">
        <v>2046</v>
      </c>
      <c r="B6" s="53" t="s">
        <v>2028</v>
      </c>
      <c r="C6" s="54" t="s">
        <v>2047</v>
      </c>
      <c r="D6" s="53" t="s">
        <v>2048</v>
      </c>
      <c r="E6" s="53" t="s">
        <v>2045</v>
      </c>
      <c r="F6" s="53">
        <v>2014</v>
      </c>
      <c r="G6" s="53" t="s">
        <v>713</v>
      </c>
      <c r="H6" s="3" t="str">
        <f t="shared" si="0"/>
        <v>Middle</v>
      </c>
    </row>
    <row r="7" spans="1:26" ht="15.75" customHeight="1">
      <c r="A7" s="53" t="s">
        <v>2049</v>
      </c>
      <c r="B7" s="53" t="s">
        <v>2028</v>
      </c>
      <c r="C7" s="54" t="s">
        <v>2050</v>
      </c>
      <c r="D7" s="53" t="s">
        <v>2051</v>
      </c>
      <c r="E7" s="53" t="s">
        <v>2045</v>
      </c>
      <c r="F7" s="53">
        <v>2017</v>
      </c>
      <c r="G7" s="53" t="s">
        <v>2032</v>
      </c>
      <c r="H7" s="3" t="str">
        <f t="shared" si="0"/>
        <v>Recent</v>
      </c>
    </row>
    <row r="8" spans="1:26" ht="15.75" customHeight="1">
      <c r="A8" s="53" t="s">
        <v>2052</v>
      </c>
      <c r="B8" s="53" t="s">
        <v>2028</v>
      </c>
      <c r="C8" s="54" t="s">
        <v>2053</v>
      </c>
      <c r="D8" s="53" t="s">
        <v>2054</v>
      </c>
      <c r="E8" s="53" t="s">
        <v>2055</v>
      </c>
      <c r="F8" s="53">
        <v>2016</v>
      </c>
      <c r="G8" s="53" t="s">
        <v>2056</v>
      </c>
      <c r="H8" s="3" t="str">
        <f t="shared" si="0"/>
        <v>Recent</v>
      </c>
    </row>
    <row r="9" spans="1:26" ht="15.75" customHeight="1">
      <c r="A9" s="53" t="s">
        <v>2057</v>
      </c>
      <c r="B9" s="53" t="s">
        <v>2028</v>
      </c>
      <c r="C9" s="54" t="s">
        <v>2058</v>
      </c>
      <c r="D9" s="53" t="s">
        <v>2059</v>
      </c>
      <c r="E9" s="53" t="s">
        <v>2060</v>
      </c>
      <c r="F9" s="53">
        <v>2016</v>
      </c>
      <c r="G9" s="53" t="s">
        <v>505</v>
      </c>
      <c r="H9" s="3" t="str">
        <f t="shared" si="0"/>
        <v>Recent</v>
      </c>
    </row>
    <row r="10" spans="1:26" ht="15.75" customHeight="1">
      <c r="A10" s="53" t="s">
        <v>2061</v>
      </c>
      <c r="B10" s="53" t="s">
        <v>2028</v>
      </c>
      <c r="C10" s="54" t="s">
        <v>2062</v>
      </c>
      <c r="D10" s="53" t="s">
        <v>2063</v>
      </c>
      <c r="E10" s="53" t="s">
        <v>316</v>
      </c>
      <c r="F10" s="53">
        <v>2013</v>
      </c>
      <c r="G10" s="53" t="s">
        <v>2064</v>
      </c>
      <c r="H10" s="3" t="str">
        <f t="shared" si="0"/>
        <v>Middle</v>
      </c>
    </row>
    <row r="11" spans="1:26" ht="15.75" customHeight="1">
      <c r="A11" s="53" t="s">
        <v>2065</v>
      </c>
      <c r="B11" s="53" t="s">
        <v>2028</v>
      </c>
      <c r="C11" s="54" t="s">
        <v>2066</v>
      </c>
      <c r="D11" s="53" t="s">
        <v>2067</v>
      </c>
      <c r="E11" s="53" t="s">
        <v>2068</v>
      </c>
      <c r="F11" s="53">
        <v>1994</v>
      </c>
      <c r="G11" s="53" t="s">
        <v>1085</v>
      </c>
      <c r="H11" s="3" t="str">
        <f t="shared" si="0"/>
        <v>Early</v>
      </c>
    </row>
    <row r="12" spans="1:26" ht="15.75" customHeight="1">
      <c r="A12" s="53" t="s">
        <v>2069</v>
      </c>
      <c r="B12" s="53" t="s">
        <v>2028</v>
      </c>
      <c r="C12" s="54" t="s">
        <v>2070</v>
      </c>
      <c r="D12" s="53" t="s">
        <v>2071</v>
      </c>
      <c r="E12" s="53" t="s">
        <v>2072</v>
      </c>
      <c r="F12" s="53">
        <v>2005</v>
      </c>
      <c r="G12" s="53" t="s">
        <v>2032</v>
      </c>
      <c r="H12" s="3" t="str">
        <f t="shared" si="0"/>
        <v>Early</v>
      </c>
    </row>
    <row r="13" spans="1:26" ht="15.75" customHeight="1">
      <c r="A13" s="53" t="s">
        <v>2073</v>
      </c>
      <c r="B13" s="53" t="s">
        <v>2028</v>
      </c>
      <c r="C13" s="54" t="s">
        <v>2074</v>
      </c>
      <c r="D13" s="53" t="s">
        <v>2075</v>
      </c>
      <c r="E13" s="53" t="s">
        <v>2076</v>
      </c>
      <c r="F13" s="53">
        <v>2003</v>
      </c>
      <c r="G13" s="53" t="s">
        <v>2032</v>
      </c>
      <c r="H13" s="3" t="str">
        <f t="shared" si="0"/>
        <v>Early</v>
      </c>
    </row>
    <row r="14" spans="1:26" ht="15.75" customHeight="1">
      <c r="A14" s="53" t="s">
        <v>2077</v>
      </c>
      <c r="B14" s="53" t="s">
        <v>2028</v>
      </c>
      <c r="C14" s="54" t="s">
        <v>2078</v>
      </c>
      <c r="D14" s="53" t="s">
        <v>2079</v>
      </c>
      <c r="E14" s="53" t="s">
        <v>2080</v>
      </c>
      <c r="F14" s="53">
        <v>1998</v>
      </c>
      <c r="G14" s="53" t="s">
        <v>2032</v>
      </c>
      <c r="H14" s="3" t="str">
        <f t="shared" si="0"/>
        <v>Early</v>
      </c>
    </row>
    <row r="15" spans="1:26" ht="15.75" customHeight="1">
      <c r="A15" s="53" t="s">
        <v>2081</v>
      </c>
      <c r="B15" s="53" t="s">
        <v>2028</v>
      </c>
      <c r="C15" s="54" t="s">
        <v>2082</v>
      </c>
      <c r="D15" s="53" t="s">
        <v>2083</v>
      </c>
      <c r="E15" s="53" t="s">
        <v>2084</v>
      </c>
      <c r="F15" s="53">
        <v>2017</v>
      </c>
      <c r="G15" s="53" t="s">
        <v>2085</v>
      </c>
      <c r="H15" s="3" t="str">
        <f t="shared" si="0"/>
        <v>Recent</v>
      </c>
    </row>
    <row r="16" spans="1:26" ht="15.75" customHeight="1">
      <c r="A16" s="23" t="s">
        <v>2086</v>
      </c>
      <c r="B16" s="23" t="s">
        <v>2028</v>
      </c>
      <c r="C16" s="23"/>
      <c r="D16" s="23" t="s">
        <v>2087</v>
      </c>
      <c r="E16" s="23" t="s">
        <v>2088</v>
      </c>
      <c r="F16" s="23">
        <v>2009</v>
      </c>
      <c r="G16" s="23" t="s">
        <v>2089</v>
      </c>
      <c r="H16" s="3" t="str">
        <f t="shared" si="0"/>
        <v>Early</v>
      </c>
    </row>
    <row r="17" spans="1:8" ht="15.75" customHeight="1">
      <c r="A17" s="53" t="s">
        <v>2090</v>
      </c>
      <c r="B17" s="53" t="s">
        <v>2028</v>
      </c>
      <c r="C17" s="54" t="s">
        <v>2091</v>
      </c>
      <c r="D17" s="53" t="s">
        <v>2092</v>
      </c>
      <c r="E17" s="53" t="s">
        <v>2093</v>
      </c>
      <c r="F17" s="53">
        <v>2015</v>
      </c>
      <c r="G17" s="53" t="s">
        <v>1029</v>
      </c>
      <c r="H17" s="3" t="str">
        <f t="shared" si="0"/>
        <v>Middle</v>
      </c>
    </row>
    <row r="18" spans="1:8" ht="15.75" customHeight="1">
      <c r="A18" s="53" t="s">
        <v>2094</v>
      </c>
      <c r="B18" s="53" t="s">
        <v>2028</v>
      </c>
      <c r="C18" s="54" t="s">
        <v>2095</v>
      </c>
      <c r="D18" s="53" t="s">
        <v>2096</v>
      </c>
      <c r="E18" s="53" t="s">
        <v>2097</v>
      </c>
      <c r="F18" s="53">
        <v>2015</v>
      </c>
      <c r="G18" s="53" t="s">
        <v>713</v>
      </c>
      <c r="H18" s="3" t="str">
        <f t="shared" si="0"/>
        <v>Middle</v>
      </c>
    </row>
    <row r="19" spans="1:8" ht="15.75" customHeight="1">
      <c r="A19" s="53" t="s">
        <v>2098</v>
      </c>
      <c r="B19" s="53" t="s">
        <v>2028</v>
      </c>
      <c r="C19" s="54" t="s">
        <v>2099</v>
      </c>
      <c r="D19" s="53" t="s">
        <v>2100</v>
      </c>
      <c r="E19" s="53" t="s">
        <v>2101</v>
      </c>
      <c r="F19" s="53">
        <v>2016</v>
      </c>
      <c r="G19" s="53" t="s">
        <v>1131</v>
      </c>
      <c r="H19" s="3" t="str">
        <f t="shared" si="0"/>
        <v>Recent</v>
      </c>
    </row>
    <row r="20" spans="1:8" ht="12.5" customHeight="1">
      <c r="A20" s="53" t="s">
        <v>2102</v>
      </c>
      <c r="B20" s="53" t="s">
        <v>2028</v>
      </c>
      <c r="C20" s="54" t="s">
        <v>2103</v>
      </c>
      <c r="D20" s="53" t="s">
        <v>2104</v>
      </c>
      <c r="E20" s="53" t="s">
        <v>2105</v>
      </c>
      <c r="F20" s="53">
        <v>2015</v>
      </c>
      <c r="G20" s="53" t="s">
        <v>2106</v>
      </c>
      <c r="H20" s="3" t="str">
        <f t="shared" si="0"/>
        <v>Middle</v>
      </c>
    </row>
    <row r="21" spans="1:8" ht="12.5" customHeight="1">
      <c r="A21" s="53" t="s">
        <v>2107</v>
      </c>
      <c r="B21" s="53" t="s">
        <v>2028</v>
      </c>
      <c r="C21" s="54" t="s">
        <v>2108</v>
      </c>
      <c r="D21" s="53" t="s">
        <v>2109</v>
      </c>
      <c r="E21" s="53" t="s">
        <v>2110</v>
      </c>
      <c r="F21" s="53">
        <v>2012</v>
      </c>
      <c r="G21" s="53" t="s">
        <v>2032</v>
      </c>
      <c r="H21" s="3" t="str">
        <f t="shared" si="0"/>
        <v>Middle</v>
      </c>
    </row>
    <row r="22" spans="1:8" ht="12.5" customHeight="1">
      <c r="A22" s="53" t="s">
        <v>2111</v>
      </c>
      <c r="B22" s="53" t="s">
        <v>2028</v>
      </c>
      <c r="C22" s="54" t="s">
        <v>2112</v>
      </c>
      <c r="D22" s="53" t="s">
        <v>2113</v>
      </c>
      <c r="E22" s="53" t="s">
        <v>2114</v>
      </c>
      <c r="F22" s="53">
        <v>2012</v>
      </c>
      <c r="G22" s="53" t="s">
        <v>2115</v>
      </c>
      <c r="H22" s="3" t="str">
        <f t="shared" si="0"/>
        <v>Middle</v>
      </c>
    </row>
    <row r="23" spans="1:8" ht="12.5" customHeight="1">
      <c r="A23" s="23" t="s">
        <v>2116</v>
      </c>
      <c r="B23" s="23" t="s">
        <v>2028</v>
      </c>
      <c r="C23" s="23"/>
      <c r="D23" s="23" t="s">
        <v>2117</v>
      </c>
      <c r="E23" s="23" t="s">
        <v>2118</v>
      </c>
      <c r="F23" s="23">
        <v>2012</v>
      </c>
      <c r="G23" s="23" t="s">
        <v>2119</v>
      </c>
      <c r="H23" s="3" t="str">
        <f t="shared" si="0"/>
        <v>Middle</v>
      </c>
    </row>
    <row r="24" spans="1:8" ht="12.5" customHeight="1">
      <c r="A24" s="53" t="s">
        <v>2120</v>
      </c>
      <c r="B24" s="53" t="s">
        <v>2028</v>
      </c>
      <c r="C24" s="54" t="s">
        <v>2121</v>
      </c>
      <c r="D24" s="53" t="s">
        <v>2122</v>
      </c>
      <c r="E24" s="53" t="s">
        <v>2118</v>
      </c>
      <c r="F24" s="53">
        <v>2004</v>
      </c>
      <c r="G24" s="53" t="s">
        <v>264</v>
      </c>
      <c r="H24" s="3" t="str">
        <f t="shared" si="0"/>
        <v>Early</v>
      </c>
    </row>
    <row r="25" spans="1:8" ht="12.5" customHeight="1">
      <c r="A25" s="53" t="s">
        <v>2123</v>
      </c>
      <c r="B25" s="53" t="s">
        <v>2028</v>
      </c>
      <c r="C25" s="54" t="s">
        <v>2124</v>
      </c>
      <c r="D25" s="53" t="s">
        <v>2125</v>
      </c>
      <c r="E25" s="53" t="s">
        <v>2126</v>
      </c>
      <c r="F25" s="53">
        <v>2009</v>
      </c>
      <c r="G25" s="53" t="s">
        <v>2064</v>
      </c>
      <c r="H25" s="3" t="str">
        <f t="shared" si="0"/>
        <v>Early</v>
      </c>
    </row>
    <row r="26" spans="1:8" ht="12.5" customHeight="1">
      <c r="A26" s="53" t="s">
        <v>2127</v>
      </c>
      <c r="B26" s="53" t="s">
        <v>2028</v>
      </c>
      <c r="C26" s="54" t="s">
        <v>2128</v>
      </c>
      <c r="D26" s="53" t="s">
        <v>2129</v>
      </c>
      <c r="E26" s="53" t="s">
        <v>2130</v>
      </c>
      <c r="F26" s="53">
        <v>2015</v>
      </c>
      <c r="G26" s="53" t="s">
        <v>2064</v>
      </c>
      <c r="H26" s="3" t="str">
        <f t="shared" si="0"/>
        <v>Middle</v>
      </c>
    </row>
    <row r="27" spans="1:8" ht="12.5" customHeight="1">
      <c r="A27" s="53" t="s">
        <v>2131</v>
      </c>
      <c r="B27" s="53" t="s">
        <v>2028</v>
      </c>
      <c r="C27" s="54" t="s">
        <v>2132</v>
      </c>
      <c r="D27" s="53" t="s">
        <v>2133</v>
      </c>
      <c r="E27" s="53" t="s">
        <v>2134</v>
      </c>
      <c r="F27" s="53">
        <v>2015</v>
      </c>
      <c r="G27" s="53" t="s">
        <v>2135</v>
      </c>
      <c r="H27" s="3" t="str">
        <f t="shared" si="0"/>
        <v>Middle</v>
      </c>
    </row>
    <row r="28" spans="1:8" ht="12.5" customHeight="1">
      <c r="A28" s="53" t="s">
        <v>2136</v>
      </c>
      <c r="B28" s="53" t="s">
        <v>2028</v>
      </c>
      <c r="C28" s="54" t="s">
        <v>2137</v>
      </c>
      <c r="D28" s="53" t="s">
        <v>2138</v>
      </c>
      <c r="E28" s="53" t="s">
        <v>2139</v>
      </c>
      <c r="F28" s="53">
        <v>2019</v>
      </c>
      <c r="G28" s="53" t="s">
        <v>2140</v>
      </c>
      <c r="H28" s="3" t="str">
        <f t="shared" si="0"/>
        <v>Recent</v>
      </c>
    </row>
    <row r="29" spans="1:8" ht="12.5" customHeight="1">
      <c r="A29" s="53" t="s">
        <v>2141</v>
      </c>
      <c r="B29" s="53" t="s">
        <v>2028</v>
      </c>
      <c r="C29" s="54" t="s">
        <v>2142</v>
      </c>
      <c r="D29" s="53" t="s">
        <v>2143</v>
      </c>
      <c r="E29" s="53" t="s">
        <v>2144</v>
      </c>
      <c r="F29" s="53">
        <v>2010</v>
      </c>
      <c r="G29" s="53" t="s">
        <v>1085</v>
      </c>
      <c r="H29" s="3" t="str">
        <f t="shared" si="0"/>
        <v>Early</v>
      </c>
    </row>
    <row r="30" spans="1:8" ht="12.5" customHeight="1">
      <c r="A30" s="53" t="s">
        <v>2145</v>
      </c>
      <c r="B30" s="53" t="s">
        <v>2028</v>
      </c>
      <c r="C30" s="54" t="s">
        <v>2146</v>
      </c>
      <c r="D30" s="53" t="s">
        <v>2147</v>
      </c>
      <c r="E30" s="53" t="s">
        <v>2148</v>
      </c>
      <c r="F30" s="53">
        <v>2014</v>
      </c>
      <c r="G30" s="53" t="s">
        <v>2032</v>
      </c>
      <c r="H30" s="3" t="str">
        <f t="shared" si="0"/>
        <v>Middle</v>
      </c>
    </row>
    <row r="31" spans="1:8" ht="12.5" customHeight="1">
      <c r="A31" s="53" t="s">
        <v>2149</v>
      </c>
      <c r="B31" s="53" t="s">
        <v>2028</v>
      </c>
      <c r="C31" s="54" t="s">
        <v>2150</v>
      </c>
      <c r="D31" s="53" t="s">
        <v>2151</v>
      </c>
      <c r="E31" s="53" t="s">
        <v>2152</v>
      </c>
      <c r="F31" s="53">
        <v>2010</v>
      </c>
      <c r="G31" s="53" t="s">
        <v>2064</v>
      </c>
      <c r="H31" s="3" t="str">
        <f t="shared" si="0"/>
        <v>Early</v>
      </c>
    </row>
    <row r="32" spans="1:8" ht="12.5" customHeight="1">
      <c r="A32" s="53" t="s">
        <v>2153</v>
      </c>
      <c r="B32" s="53" t="s">
        <v>2028</v>
      </c>
      <c r="C32" s="54" t="s">
        <v>2154</v>
      </c>
      <c r="D32" s="53" t="s">
        <v>2155</v>
      </c>
      <c r="E32" s="53" t="s">
        <v>2156</v>
      </c>
      <c r="F32" s="53">
        <v>2009</v>
      </c>
      <c r="G32" s="53" t="s">
        <v>713</v>
      </c>
      <c r="H32" s="3" t="str">
        <f t="shared" si="0"/>
        <v>Early</v>
      </c>
    </row>
    <row r="33" spans="1:8" ht="12.5" customHeight="1">
      <c r="A33" s="53" t="s">
        <v>2157</v>
      </c>
      <c r="B33" s="53" t="s">
        <v>2028</v>
      </c>
      <c r="C33" s="54" t="s">
        <v>2158</v>
      </c>
      <c r="D33" s="53" t="s">
        <v>2159</v>
      </c>
      <c r="E33" s="53" t="s">
        <v>2160</v>
      </c>
      <c r="F33" s="53">
        <v>2012</v>
      </c>
      <c r="G33" s="53" t="s">
        <v>2041</v>
      </c>
      <c r="H33" s="3" t="str">
        <f t="shared" si="0"/>
        <v>Middle</v>
      </c>
    </row>
    <row r="34" spans="1:8" ht="12.5" customHeight="1">
      <c r="A34" s="53" t="s">
        <v>2161</v>
      </c>
      <c r="B34" s="53" t="s">
        <v>2028</v>
      </c>
      <c r="C34" s="54" t="s">
        <v>2162</v>
      </c>
      <c r="D34" s="53" t="s">
        <v>2163</v>
      </c>
      <c r="E34" s="53" t="s">
        <v>2164</v>
      </c>
      <c r="F34" s="53">
        <v>2004</v>
      </c>
      <c r="G34" s="53" t="s">
        <v>2165</v>
      </c>
      <c r="H34" s="3" t="str">
        <f t="shared" si="0"/>
        <v>Early</v>
      </c>
    </row>
    <row r="35" spans="1:8" ht="12.5" customHeight="1">
      <c r="A35" s="53" t="s">
        <v>2166</v>
      </c>
      <c r="B35" s="53" t="s">
        <v>2028</v>
      </c>
      <c r="C35" s="54" t="s">
        <v>2167</v>
      </c>
      <c r="D35" s="53" t="s">
        <v>2168</v>
      </c>
      <c r="E35" s="53" t="s">
        <v>2169</v>
      </c>
      <c r="F35" s="53">
        <v>2018</v>
      </c>
      <c r="G35" s="53" t="s">
        <v>2170</v>
      </c>
      <c r="H35" s="3" t="str">
        <f t="shared" si="0"/>
        <v>Recent</v>
      </c>
    </row>
    <row r="36" spans="1:8" ht="12.5" customHeight="1">
      <c r="A36" s="53" t="s">
        <v>2171</v>
      </c>
      <c r="B36" s="53" t="s">
        <v>2028</v>
      </c>
      <c r="C36" s="54" t="s">
        <v>2172</v>
      </c>
      <c r="D36" s="53" t="s">
        <v>2173</v>
      </c>
      <c r="E36" s="53" t="s">
        <v>2174</v>
      </c>
      <c r="F36" s="53">
        <v>2012</v>
      </c>
      <c r="G36" s="53" t="s">
        <v>2170</v>
      </c>
      <c r="H36" s="3" t="str">
        <f t="shared" si="0"/>
        <v>Middle</v>
      </c>
    </row>
    <row r="37" spans="1:8" ht="12.5" customHeight="1">
      <c r="A37" s="53" t="s">
        <v>2175</v>
      </c>
      <c r="B37" s="53" t="s">
        <v>2028</v>
      </c>
      <c r="C37" s="54" t="s">
        <v>2176</v>
      </c>
      <c r="D37" s="53" t="s">
        <v>2177</v>
      </c>
      <c r="E37" s="53" t="s">
        <v>2178</v>
      </c>
      <c r="F37" s="53">
        <v>2015</v>
      </c>
      <c r="G37" s="53" t="s">
        <v>1212</v>
      </c>
      <c r="H37" s="3" t="str">
        <f t="shared" si="0"/>
        <v>Middle</v>
      </c>
    </row>
    <row r="38" spans="1:8" ht="12.5" customHeight="1">
      <c r="A38" s="53" t="s">
        <v>2179</v>
      </c>
      <c r="B38" s="53" t="s">
        <v>2028</v>
      </c>
      <c r="C38" s="54" t="s">
        <v>2180</v>
      </c>
      <c r="D38" s="53" t="s">
        <v>2181</v>
      </c>
      <c r="E38" s="53" t="s">
        <v>2182</v>
      </c>
      <c r="F38" s="53">
        <v>2013</v>
      </c>
      <c r="G38" s="53" t="s">
        <v>1085</v>
      </c>
      <c r="H38" s="3" t="str">
        <f t="shared" si="0"/>
        <v>Middle</v>
      </c>
    </row>
    <row r="39" spans="1:8" ht="12.5" customHeight="1">
      <c r="A39" s="53" t="s">
        <v>2183</v>
      </c>
      <c r="B39" s="53" t="s">
        <v>2028</v>
      </c>
      <c r="C39" s="54" t="s">
        <v>2184</v>
      </c>
      <c r="D39" s="53" t="s">
        <v>2185</v>
      </c>
      <c r="E39" s="53" t="s">
        <v>2186</v>
      </c>
      <c r="F39" s="53">
        <v>2018</v>
      </c>
      <c r="G39" s="53" t="s">
        <v>1235</v>
      </c>
      <c r="H39" s="3" t="str">
        <f t="shared" si="0"/>
        <v>Recent</v>
      </c>
    </row>
    <row r="40" spans="1:8" ht="12.5" customHeight="1">
      <c r="A40" s="53" t="s">
        <v>2187</v>
      </c>
      <c r="B40" s="53" t="s">
        <v>2028</v>
      </c>
      <c r="C40" s="54" t="s">
        <v>2188</v>
      </c>
      <c r="D40" s="53" t="s">
        <v>2189</v>
      </c>
      <c r="E40" s="53" t="s">
        <v>2190</v>
      </c>
      <c r="F40" s="53">
        <v>2010</v>
      </c>
      <c r="G40" s="53" t="s">
        <v>2089</v>
      </c>
      <c r="H40" s="3" t="str">
        <f t="shared" si="0"/>
        <v>Early</v>
      </c>
    </row>
    <row r="41" spans="1:8" ht="12.5" customHeight="1">
      <c r="A41" s="53" t="s">
        <v>2191</v>
      </c>
      <c r="B41" s="53" t="s">
        <v>2028</v>
      </c>
      <c r="C41" s="54" t="s">
        <v>2192</v>
      </c>
      <c r="D41" s="53" t="s">
        <v>2193</v>
      </c>
      <c r="E41" s="53" t="s">
        <v>2194</v>
      </c>
      <c r="F41" s="53">
        <v>2016</v>
      </c>
      <c r="G41" s="53" t="s">
        <v>2032</v>
      </c>
      <c r="H41" s="3" t="str">
        <f t="shared" si="0"/>
        <v>Recent</v>
      </c>
    </row>
    <row r="42" spans="1:8" ht="12.5" customHeight="1">
      <c r="A42" s="53" t="s">
        <v>2195</v>
      </c>
      <c r="B42" s="53" t="s">
        <v>2028</v>
      </c>
      <c r="C42" s="54" t="s">
        <v>2196</v>
      </c>
      <c r="D42" s="53" t="s">
        <v>2197</v>
      </c>
      <c r="E42" s="53" t="s">
        <v>2198</v>
      </c>
      <c r="F42" s="53">
        <v>2013</v>
      </c>
      <c r="G42" s="53" t="s">
        <v>2089</v>
      </c>
      <c r="H42" s="3" t="str">
        <f t="shared" si="0"/>
        <v>Middle</v>
      </c>
    </row>
    <row r="43" spans="1:8" ht="12.5" customHeight="1">
      <c r="A43" s="53" t="s">
        <v>2199</v>
      </c>
      <c r="B43" s="53" t="s">
        <v>2028</v>
      </c>
      <c r="C43" s="54" t="s">
        <v>2200</v>
      </c>
      <c r="D43" s="53" t="s">
        <v>2201</v>
      </c>
      <c r="E43" s="53" t="s">
        <v>2202</v>
      </c>
      <c r="F43" s="53">
        <v>2010</v>
      </c>
      <c r="G43" s="53" t="s">
        <v>2064</v>
      </c>
      <c r="H43" s="3" t="str">
        <f t="shared" si="0"/>
        <v>Early</v>
      </c>
    </row>
    <row r="44" spans="1:8" ht="15.5" customHeight="1">
      <c r="A44" s="53" t="s">
        <v>2203</v>
      </c>
      <c r="B44" s="53" t="s">
        <v>2028</v>
      </c>
      <c r="C44" s="32" t="s">
        <v>3111</v>
      </c>
      <c r="D44" s="53" t="s">
        <v>2205</v>
      </c>
      <c r="E44" s="53" t="s">
        <v>2206</v>
      </c>
      <c r="F44" s="53">
        <v>2015</v>
      </c>
      <c r="G44" s="53" t="s">
        <v>1029</v>
      </c>
      <c r="H44" s="3" t="str">
        <f t="shared" si="0"/>
        <v>Middle</v>
      </c>
    </row>
    <row r="45" spans="1:8" ht="15.5" customHeight="1">
      <c r="A45" s="53" t="s">
        <v>2207</v>
      </c>
      <c r="B45" s="53" t="s">
        <v>2028</v>
      </c>
      <c r="C45" s="55" t="s">
        <v>2208</v>
      </c>
      <c r="D45" s="53" t="s">
        <v>2209</v>
      </c>
      <c r="E45" s="53" t="s">
        <v>2206</v>
      </c>
      <c r="F45" s="53">
        <v>2013</v>
      </c>
      <c r="G45" s="53" t="s">
        <v>1131</v>
      </c>
      <c r="H45" s="3" t="str">
        <f t="shared" si="0"/>
        <v>Middle</v>
      </c>
    </row>
    <row r="46" spans="1:8" ht="15.5" customHeight="1">
      <c r="A46" s="23" t="s">
        <v>2210</v>
      </c>
      <c r="B46" s="23" t="s">
        <v>2028</v>
      </c>
      <c r="C46" s="34"/>
      <c r="D46" s="23" t="s">
        <v>2211</v>
      </c>
      <c r="E46" s="23" t="s">
        <v>2212</v>
      </c>
      <c r="F46" s="23">
        <v>2014</v>
      </c>
      <c r="G46" s="23" t="s">
        <v>2213</v>
      </c>
      <c r="H46" s="3" t="str">
        <f t="shared" si="0"/>
        <v>Middle</v>
      </c>
    </row>
    <row r="47" spans="1:8" ht="15.5" customHeight="1">
      <c r="A47" s="53" t="s">
        <v>2214</v>
      </c>
      <c r="B47" s="53" t="s">
        <v>2028</v>
      </c>
      <c r="C47" s="32" t="s">
        <v>3112</v>
      </c>
      <c r="D47" s="53" t="s">
        <v>2216</v>
      </c>
      <c r="E47" s="53" t="s">
        <v>2217</v>
      </c>
      <c r="F47" s="53">
        <v>2017</v>
      </c>
      <c r="G47" s="53" t="s">
        <v>2218</v>
      </c>
      <c r="H47" s="3" t="str">
        <f t="shared" si="0"/>
        <v>Recent</v>
      </c>
    </row>
    <row r="48" spans="1:8" ht="15.5" customHeight="1">
      <c r="A48" s="53" t="s">
        <v>2219</v>
      </c>
      <c r="B48" s="53" t="s">
        <v>2028</v>
      </c>
      <c r="C48" s="32" t="s">
        <v>3113</v>
      </c>
      <c r="D48" s="53" t="s">
        <v>2221</v>
      </c>
      <c r="E48" s="53" t="s">
        <v>2222</v>
      </c>
      <c r="F48" s="53">
        <v>2011</v>
      </c>
      <c r="G48" s="53" t="s">
        <v>2041</v>
      </c>
      <c r="H48" s="3" t="str">
        <f t="shared" si="0"/>
        <v>Early</v>
      </c>
    </row>
  </sheetData>
  <hyperlinks>
    <hyperlink ref="C2" r:id="rId1" xr:uid="{00000000-0004-0000-0B00-000000000000}"/>
    <hyperlink ref="C3" r:id="rId2" xr:uid="{00000000-0004-0000-0B00-000001000000}"/>
    <hyperlink ref="C4" r:id="rId3" xr:uid="{00000000-0004-0000-0B00-000002000000}"/>
    <hyperlink ref="C5" r:id="rId4" xr:uid="{00000000-0004-0000-0B00-000003000000}"/>
    <hyperlink ref="C6" r:id="rId5" xr:uid="{00000000-0004-0000-0B00-000004000000}"/>
    <hyperlink ref="C7" r:id="rId6" xr:uid="{00000000-0004-0000-0B00-000005000000}"/>
    <hyperlink ref="C8" r:id="rId7" xr:uid="{00000000-0004-0000-0B00-000006000000}"/>
    <hyperlink ref="C9" r:id="rId8" xr:uid="{00000000-0004-0000-0B00-000007000000}"/>
    <hyperlink ref="C10" r:id="rId9" xr:uid="{00000000-0004-0000-0B00-000008000000}"/>
    <hyperlink ref="C11" r:id="rId10" xr:uid="{00000000-0004-0000-0B00-000009000000}"/>
    <hyperlink ref="C12" r:id="rId11" xr:uid="{00000000-0004-0000-0B00-00000A000000}"/>
    <hyperlink ref="C13" r:id="rId12" xr:uid="{00000000-0004-0000-0B00-00000B000000}"/>
    <hyperlink ref="C14" r:id="rId13" xr:uid="{00000000-0004-0000-0B00-00000C000000}"/>
    <hyperlink ref="C15" r:id="rId14" xr:uid="{00000000-0004-0000-0B00-00000D000000}"/>
    <hyperlink ref="C17" r:id="rId15" xr:uid="{00000000-0004-0000-0B00-00000E000000}"/>
    <hyperlink ref="C18" r:id="rId16" xr:uid="{00000000-0004-0000-0B00-00000F000000}"/>
    <hyperlink ref="C19" r:id="rId17" xr:uid="{00000000-0004-0000-0B00-000010000000}"/>
    <hyperlink ref="C20" r:id="rId18" xr:uid="{00000000-0004-0000-0B00-000011000000}"/>
    <hyperlink ref="C21" r:id="rId19" xr:uid="{00000000-0004-0000-0B00-000012000000}"/>
    <hyperlink ref="C22" r:id="rId20" xr:uid="{00000000-0004-0000-0B00-000013000000}"/>
    <hyperlink ref="C24" r:id="rId21" xr:uid="{00000000-0004-0000-0B00-000014000000}"/>
    <hyperlink ref="C25" r:id="rId22" xr:uid="{00000000-0004-0000-0B00-000015000000}"/>
    <hyperlink ref="C26" r:id="rId23" xr:uid="{00000000-0004-0000-0B00-000016000000}"/>
    <hyperlink ref="C27" r:id="rId24" xr:uid="{00000000-0004-0000-0B00-000017000000}"/>
    <hyperlink ref="C28" r:id="rId25" xr:uid="{00000000-0004-0000-0B00-000018000000}"/>
    <hyperlink ref="C29" r:id="rId26" xr:uid="{00000000-0004-0000-0B00-000019000000}"/>
    <hyperlink ref="C30" r:id="rId27" xr:uid="{00000000-0004-0000-0B00-00001A000000}"/>
    <hyperlink ref="C31" r:id="rId28" xr:uid="{00000000-0004-0000-0B00-00001B000000}"/>
    <hyperlink ref="C32" r:id="rId29" xr:uid="{00000000-0004-0000-0B00-00001C000000}"/>
    <hyperlink ref="C33" r:id="rId30" xr:uid="{00000000-0004-0000-0B00-00001D000000}"/>
    <hyperlink ref="C34" r:id="rId31" xr:uid="{00000000-0004-0000-0B00-00001E000000}"/>
    <hyperlink ref="C35" r:id="rId32" xr:uid="{00000000-0004-0000-0B00-00001F000000}"/>
    <hyperlink ref="C36" r:id="rId33" xr:uid="{00000000-0004-0000-0B00-000020000000}"/>
    <hyperlink ref="C37" r:id="rId34" xr:uid="{00000000-0004-0000-0B00-000021000000}"/>
    <hyperlink ref="C38" r:id="rId35" xr:uid="{00000000-0004-0000-0B00-000022000000}"/>
    <hyperlink ref="C39" r:id="rId36" xr:uid="{00000000-0004-0000-0B00-000023000000}"/>
    <hyperlink ref="C40" r:id="rId37" xr:uid="{00000000-0004-0000-0B00-000024000000}"/>
    <hyperlink ref="C41" r:id="rId38" xr:uid="{00000000-0004-0000-0B00-000025000000}"/>
    <hyperlink ref="C42" r:id="rId39" xr:uid="{00000000-0004-0000-0B00-000026000000}"/>
    <hyperlink ref="C43" r:id="rId40" xr:uid="{00000000-0004-0000-0B00-000027000000}"/>
    <hyperlink ref="C44" r:id="rId41" xr:uid="{00000000-0004-0000-0B00-000028000000}"/>
    <hyperlink ref="C47" r:id="rId42" xr:uid="{00000000-0004-0000-0B00-000029000000}"/>
    <hyperlink ref="C48" r:id="rId43" xr:uid="{00000000-0004-0000-0B00-00002A000000}"/>
  </hyperlink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57"/>
  <sheetViews>
    <sheetView workbookViewId="0"/>
  </sheetViews>
  <sheetFormatPr defaultColWidth="10.90625" defaultRowHeight="12.5"/>
  <cols>
    <col min="3" max="3" width="54.269531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23" t="s">
        <v>2223</v>
      </c>
      <c r="B2" s="23" t="s">
        <v>2224</v>
      </c>
      <c r="C2" s="23"/>
      <c r="D2" s="23" t="s">
        <v>2225</v>
      </c>
      <c r="E2" s="23" t="s">
        <v>2226</v>
      </c>
      <c r="F2" s="23">
        <v>2006</v>
      </c>
      <c r="G2" s="23" t="s">
        <v>2227</v>
      </c>
      <c r="H2" s="3" t="str">
        <f t="shared" ref="H2:H57" si="0">IF(F2="","",
  IF(F2&lt;=PERCENTILE(IF($B:$B=B2,$F:$F),0.33),"Early",
    IF(F2&lt;=PERCENTILE(IF($B:$B=B2,$F:$F),0.67),"Middle","Recent")))</f>
        <v>Early</v>
      </c>
    </row>
    <row r="3" spans="1:26" ht="15.75" customHeight="1">
      <c r="A3" s="23" t="s">
        <v>2228</v>
      </c>
      <c r="B3" s="23" t="s">
        <v>2224</v>
      </c>
      <c r="C3" s="37"/>
      <c r="D3" s="23" t="s">
        <v>2229</v>
      </c>
      <c r="E3" s="23" t="s">
        <v>2230</v>
      </c>
      <c r="F3" s="23">
        <v>2017</v>
      </c>
      <c r="G3" s="23" t="s">
        <v>2231</v>
      </c>
      <c r="H3" s="3" t="str">
        <f t="shared" si="0"/>
        <v>Early</v>
      </c>
    </row>
    <row r="4" spans="1:26" ht="15.75" customHeight="1">
      <c r="A4" s="41" t="s">
        <v>2232</v>
      </c>
      <c r="B4" s="41" t="s">
        <v>2224</v>
      </c>
      <c r="C4" s="32" t="s">
        <v>3114</v>
      </c>
      <c r="D4" s="41" t="s">
        <v>2234</v>
      </c>
      <c r="E4" s="41" t="s">
        <v>2235</v>
      </c>
      <c r="F4" s="41">
        <v>2018</v>
      </c>
      <c r="G4" s="41" t="s">
        <v>2236</v>
      </c>
      <c r="H4" s="3" t="str">
        <f t="shared" si="0"/>
        <v>Middle</v>
      </c>
    </row>
    <row r="5" spans="1:26" ht="15.75" customHeight="1">
      <c r="A5" s="41" t="s">
        <v>2237</v>
      </c>
      <c r="B5" s="41" t="s">
        <v>2224</v>
      </c>
      <c r="C5" s="32" t="s">
        <v>3115</v>
      </c>
      <c r="D5" s="41" t="s">
        <v>2239</v>
      </c>
      <c r="E5" s="41" t="s">
        <v>2240</v>
      </c>
      <c r="F5" s="41">
        <v>2022</v>
      </c>
      <c r="G5" s="41" t="s">
        <v>2241</v>
      </c>
      <c r="H5" s="3" t="str">
        <f t="shared" si="0"/>
        <v>Recent</v>
      </c>
    </row>
    <row r="6" spans="1:26" ht="15.75" customHeight="1">
      <c r="A6" s="41" t="s">
        <v>2242</v>
      </c>
      <c r="B6" s="41" t="s">
        <v>2224</v>
      </c>
      <c r="C6" s="4" t="s">
        <v>3116</v>
      </c>
      <c r="D6" s="41" t="s">
        <v>2244</v>
      </c>
      <c r="E6" s="41" t="s">
        <v>2245</v>
      </c>
      <c r="F6" s="41">
        <v>2012</v>
      </c>
      <c r="G6" s="41" t="s">
        <v>2246</v>
      </c>
      <c r="H6" s="3" t="str">
        <f t="shared" si="0"/>
        <v>Early</v>
      </c>
    </row>
    <row r="7" spans="1:26" ht="15.75" customHeight="1">
      <c r="A7" s="41" t="s">
        <v>2247</v>
      </c>
      <c r="B7" s="41" t="s">
        <v>2224</v>
      </c>
      <c r="C7" s="4" t="s">
        <v>3117</v>
      </c>
      <c r="D7" s="41" t="s">
        <v>2249</v>
      </c>
      <c r="E7" s="41" t="s">
        <v>2250</v>
      </c>
      <c r="F7" s="41">
        <v>2019</v>
      </c>
      <c r="G7" s="41" t="s">
        <v>2251</v>
      </c>
      <c r="H7" s="3" t="str">
        <f t="shared" si="0"/>
        <v>Middle</v>
      </c>
    </row>
    <row r="8" spans="1:26" ht="15.75" customHeight="1">
      <c r="A8" s="41" t="s">
        <v>2252</v>
      </c>
      <c r="B8" s="41" t="s">
        <v>2224</v>
      </c>
      <c r="C8" s="25" t="s">
        <v>3118</v>
      </c>
      <c r="D8" s="41" t="s">
        <v>2254</v>
      </c>
      <c r="E8" s="41" t="s">
        <v>2255</v>
      </c>
      <c r="F8" s="41">
        <v>2021</v>
      </c>
      <c r="G8" s="41" t="s">
        <v>2256</v>
      </c>
      <c r="H8" s="3" t="str">
        <f t="shared" si="0"/>
        <v>Recent</v>
      </c>
    </row>
    <row r="9" spans="1:26" ht="15.75" customHeight="1">
      <c r="A9" s="41" t="s">
        <v>2257</v>
      </c>
      <c r="B9" s="41" t="s">
        <v>2224</v>
      </c>
      <c r="C9" s="25" t="s">
        <v>3119</v>
      </c>
      <c r="D9" s="41" t="s">
        <v>2259</v>
      </c>
      <c r="E9" s="41" t="s">
        <v>2260</v>
      </c>
      <c r="F9" s="41">
        <v>2015</v>
      </c>
      <c r="G9" s="41" t="s">
        <v>2246</v>
      </c>
      <c r="H9" s="3" t="str">
        <f t="shared" si="0"/>
        <v>Early</v>
      </c>
    </row>
    <row r="10" spans="1:26" ht="15.75" customHeight="1">
      <c r="A10" s="41" t="s">
        <v>2261</v>
      </c>
      <c r="B10" s="41" t="s">
        <v>2224</v>
      </c>
      <c r="C10" s="4" t="s">
        <v>3120</v>
      </c>
      <c r="D10" s="41" t="s">
        <v>2263</v>
      </c>
      <c r="E10" s="41" t="s">
        <v>2260</v>
      </c>
      <c r="F10" s="41">
        <v>2018</v>
      </c>
      <c r="G10" s="41" t="s">
        <v>2264</v>
      </c>
      <c r="H10" s="3" t="str">
        <f t="shared" si="0"/>
        <v>Middle</v>
      </c>
    </row>
    <row r="11" spans="1:26" ht="15.75" customHeight="1">
      <c r="A11" s="41" t="s">
        <v>2265</v>
      </c>
      <c r="B11" s="41" t="s">
        <v>2224</v>
      </c>
      <c r="C11" s="32" t="s">
        <v>3121</v>
      </c>
      <c r="D11" s="41" t="s">
        <v>2267</v>
      </c>
      <c r="E11" s="41" t="s">
        <v>2260</v>
      </c>
      <c r="F11" s="41">
        <v>2019</v>
      </c>
      <c r="G11" s="41" t="s">
        <v>2268</v>
      </c>
      <c r="H11" s="3" t="str">
        <f t="shared" si="0"/>
        <v>Middle</v>
      </c>
    </row>
    <row r="12" spans="1:26" ht="15.75" customHeight="1">
      <c r="A12" s="41" t="s">
        <v>2269</v>
      </c>
      <c r="B12" s="41" t="s">
        <v>2224</v>
      </c>
      <c r="C12" s="25" t="s">
        <v>3122</v>
      </c>
      <c r="D12" s="41" t="s">
        <v>2271</v>
      </c>
      <c r="E12" s="41" t="s">
        <v>2272</v>
      </c>
      <c r="F12" s="41">
        <v>2015</v>
      </c>
      <c r="G12" s="41" t="s">
        <v>2273</v>
      </c>
      <c r="H12" s="3" t="str">
        <f t="shared" si="0"/>
        <v>Early</v>
      </c>
    </row>
    <row r="13" spans="1:26" ht="15.75" customHeight="1">
      <c r="A13" s="41" t="s">
        <v>2274</v>
      </c>
      <c r="B13" s="41" t="s">
        <v>2224</v>
      </c>
      <c r="C13" s="4" t="s">
        <v>3123</v>
      </c>
      <c r="D13" s="41" t="s">
        <v>2276</v>
      </c>
      <c r="E13" s="41" t="s">
        <v>2277</v>
      </c>
      <c r="F13" s="41">
        <v>2022</v>
      </c>
      <c r="G13" s="41" t="s">
        <v>2256</v>
      </c>
      <c r="H13" s="3" t="str">
        <f t="shared" si="0"/>
        <v>Recent</v>
      </c>
    </row>
    <row r="14" spans="1:26" ht="14" customHeight="1">
      <c r="A14" s="41" t="s">
        <v>2278</v>
      </c>
      <c r="B14" s="41" t="s">
        <v>2224</v>
      </c>
      <c r="C14" s="56" t="s">
        <v>2279</v>
      </c>
      <c r="D14" s="41" t="s">
        <v>2280</v>
      </c>
      <c r="E14" s="41" t="s">
        <v>2281</v>
      </c>
      <c r="F14" s="41">
        <v>2020</v>
      </c>
      <c r="G14" s="41" t="s">
        <v>2282</v>
      </c>
      <c r="H14" s="3" t="str">
        <f t="shared" si="0"/>
        <v>Recent</v>
      </c>
    </row>
    <row r="15" spans="1:26" ht="15.75" customHeight="1">
      <c r="A15" s="41" t="s">
        <v>2283</v>
      </c>
      <c r="B15" s="41" t="s">
        <v>2224</v>
      </c>
      <c r="C15" s="32" t="s">
        <v>3124</v>
      </c>
      <c r="D15" s="41" t="s">
        <v>2285</v>
      </c>
      <c r="E15" s="41" t="s">
        <v>2286</v>
      </c>
      <c r="F15" s="41">
        <v>2015</v>
      </c>
      <c r="G15" s="41" t="s">
        <v>2287</v>
      </c>
      <c r="H15" s="3" t="str">
        <f t="shared" si="0"/>
        <v>Early</v>
      </c>
    </row>
    <row r="16" spans="1:26" ht="15.75" customHeight="1">
      <c r="A16" s="41" t="s">
        <v>2288</v>
      </c>
      <c r="B16" s="41" t="s">
        <v>2224</v>
      </c>
      <c r="C16" s="4" t="s">
        <v>3125</v>
      </c>
      <c r="D16" s="41" t="s">
        <v>2290</v>
      </c>
      <c r="E16" s="41" t="s">
        <v>2286</v>
      </c>
      <c r="F16" s="41">
        <v>2019</v>
      </c>
      <c r="G16" s="41" t="s">
        <v>2291</v>
      </c>
      <c r="H16" s="3" t="str">
        <f t="shared" si="0"/>
        <v>Middle</v>
      </c>
    </row>
    <row r="17" spans="1:8" ht="15.75" customHeight="1">
      <c r="A17" s="41" t="s">
        <v>2292</v>
      </c>
      <c r="B17" s="41" t="s">
        <v>2224</v>
      </c>
      <c r="C17" s="57" t="s">
        <v>2293</v>
      </c>
      <c r="D17" s="41" t="s">
        <v>2294</v>
      </c>
      <c r="E17" s="41" t="s">
        <v>2286</v>
      </c>
      <c r="F17" s="41">
        <v>2020</v>
      </c>
      <c r="G17" s="41" t="s">
        <v>2295</v>
      </c>
      <c r="H17" s="3" t="str">
        <f t="shared" si="0"/>
        <v>Recent</v>
      </c>
    </row>
    <row r="18" spans="1:8" ht="15.75" customHeight="1">
      <c r="A18" s="41" t="s">
        <v>2296</v>
      </c>
      <c r="B18" s="41" t="s">
        <v>2224</v>
      </c>
      <c r="C18" s="32" t="s">
        <v>3126</v>
      </c>
      <c r="D18" s="41" t="s">
        <v>2298</v>
      </c>
      <c r="E18" s="41" t="s">
        <v>2286</v>
      </c>
      <c r="F18" s="41">
        <v>2021</v>
      </c>
      <c r="G18" s="41" t="s">
        <v>293</v>
      </c>
      <c r="H18" s="3" t="str">
        <f t="shared" si="0"/>
        <v>Recent</v>
      </c>
    </row>
    <row r="19" spans="1:8" ht="15.75" customHeight="1">
      <c r="A19" s="23" t="s">
        <v>2299</v>
      </c>
      <c r="B19" s="23" t="s">
        <v>2224</v>
      </c>
      <c r="C19" s="23"/>
      <c r="D19" s="23" t="s">
        <v>2300</v>
      </c>
      <c r="E19" s="23" t="s">
        <v>2301</v>
      </c>
      <c r="F19" s="23">
        <v>2016</v>
      </c>
      <c r="G19" s="23" t="s">
        <v>2302</v>
      </c>
      <c r="H19" s="3" t="str">
        <f t="shared" si="0"/>
        <v>Early</v>
      </c>
    </row>
    <row r="20" spans="1:8" ht="12.5" customHeight="1">
      <c r="A20" s="41" t="s">
        <v>2303</v>
      </c>
      <c r="B20" s="41" t="s">
        <v>2224</v>
      </c>
      <c r="C20" s="25" t="s">
        <v>3127</v>
      </c>
      <c r="D20" s="41" t="s">
        <v>2305</v>
      </c>
      <c r="E20" s="41" t="s">
        <v>2306</v>
      </c>
      <c r="F20" s="41">
        <v>2020</v>
      </c>
      <c r="G20" s="41" t="s">
        <v>2256</v>
      </c>
      <c r="H20" s="3" t="str">
        <f t="shared" si="0"/>
        <v>Recent</v>
      </c>
    </row>
    <row r="21" spans="1:8" ht="15.5" customHeight="1">
      <c r="A21" s="41" t="s">
        <v>2307</v>
      </c>
      <c r="B21" s="41" t="s">
        <v>2224</v>
      </c>
      <c r="C21" s="32" t="s">
        <v>3128</v>
      </c>
      <c r="D21" s="41" t="s">
        <v>2309</v>
      </c>
      <c r="E21" s="41" t="s">
        <v>2310</v>
      </c>
      <c r="F21" s="41">
        <v>2022</v>
      </c>
      <c r="G21" s="41" t="s">
        <v>2241</v>
      </c>
      <c r="H21" s="3" t="str">
        <f t="shared" si="0"/>
        <v>Recent</v>
      </c>
    </row>
    <row r="22" spans="1:8" ht="12.5" customHeight="1">
      <c r="A22" s="23" t="s">
        <v>2311</v>
      </c>
      <c r="B22" s="23" t="s">
        <v>2224</v>
      </c>
      <c r="C22" s="23"/>
      <c r="D22" s="23" t="s">
        <v>2312</v>
      </c>
      <c r="E22" s="23" t="s">
        <v>2313</v>
      </c>
      <c r="F22" s="23">
        <v>2019</v>
      </c>
      <c r="G22" s="23" t="s">
        <v>2314</v>
      </c>
      <c r="H22" s="3" t="str">
        <f t="shared" si="0"/>
        <v>Middle</v>
      </c>
    </row>
    <row r="23" spans="1:8" ht="12.5" customHeight="1">
      <c r="A23" s="41" t="s">
        <v>2315</v>
      </c>
      <c r="B23" s="41" t="s">
        <v>2224</v>
      </c>
      <c r="C23" s="25" t="s">
        <v>3129</v>
      </c>
      <c r="D23" s="41" t="s">
        <v>2317</v>
      </c>
      <c r="E23" s="41" t="s">
        <v>2318</v>
      </c>
      <c r="F23" s="41">
        <v>2019</v>
      </c>
      <c r="G23" s="41" t="s">
        <v>2273</v>
      </c>
      <c r="H23" s="3" t="str">
        <f t="shared" si="0"/>
        <v>Middle</v>
      </c>
    </row>
    <row r="24" spans="1:8" ht="12.5" customHeight="1">
      <c r="A24" s="23" t="s">
        <v>2319</v>
      </c>
      <c r="B24" s="23" t="s">
        <v>2224</v>
      </c>
      <c r="C24" s="58"/>
      <c r="D24" s="23" t="s">
        <v>2320</v>
      </c>
      <c r="E24" s="23" t="s">
        <v>2321</v>
      </c>
      <c r="F24" s="23">
        <v>2018</v>
      </c>
      <c r="G24" s="23" t="s">
        <v>2322</v>
      </c>
      <c r="H24" s="3" t="str">
        <f t="shared" si="0"/>
        <v>Middle</v>
      </c>
    </row>
    <row r="25" spans="1:8" ht="12.5" customHeight="1">
      <c r="A25" s="41" t="s">
        <v>2323</v>
      </c>
      <c r="B25" s="41" t="s">
        <v>2224</v>
      </c>
      <c r="C25" s="25" t="s">
        <v>3130</v>
      </c>
      <c r="D25" s="41" t="s">
        <v>2325</v>
      </c>
      <c r="E25" s="41" t="s">
        <v>2326</v>
      </c>
      <c r="F25" s="41">
        <v>2015</v>
      </c>
      <c r="G25" s="41" t="s">
        <v>2327</v>
      </c>
      <c r="H25" s="3" t="str">
        <f t="shared" si="0"/>
        <v>Early</v>
      </c>
    </row>
    <row r="26" spans="1:8" ht="12.5" customHeight="1">
      <c r="A26" s="41" t="s">
        <v>2328</v>
      </c>
      <c r="B26" s="41" t="s">
        <v>2224</v>
      </c>
      <c r="C26" s="25" t="s">
        <v>3131</v>
      </c>
      <c r="D26" s="41" t="s">
        <v>2330</v>
      </c>
      <c r="E26" s="41" t="s">
        <v>2326</v>
      </c>
      <c r="F26" s="41">
        <v>2022</v>
      </c>
      <c r="G26" s="41" t="s">
        <v>2273</v>
      </c>
      <c r="H26" s="3" t="str">
        <f t="shared" si="0"/>
        <v>Recent</v>
      </c>
    </row>
    <row r="27" spans="1:8" ht="15.5" customHeight="1">
      <c r="A27" s="41" t="s">
        <v>2331</v>
      </c>
      <c r="B27" s="41" t="s">
        <v>2224</v>
      </c>
      <c r="C27" s="59" t="s">
        <v>2332</v>
      </c>
      <c r="D27" s="41" t="s">
        <v>2333</v>
      </c>
      <c r="E27" s="41" t="s">
        <v>2326</v>
      </c>
      <c r="F27" s="41">
        <v>2014</v>
      </c>
      <c r="G27" s="41" t="s">
        <v>2268</v>
      </c>
      <c r="H27" s="3" t="str">
        <f t="shared" si="0"/>
        <v>Early</v>
      </c>
    </row>
    <row r="28" spans="1:8" ht="14" customHeight="1">
      <c r="A28" s="41" t="s">
        <v>2334</v>
      </c>
      <c r="B28" s="41" t="s">
        <v>2224</v>
      </c>
      <c r="C28" s="56" t="s">
        <v>2335</v>
      </c>
      <c r="D28" s="41" t="s">
        <v>2336</v>
      </c>
      <c r="E28" s="41" t="s">
        <v>2326</v>
      </c>
      <c r="F28" s="41">
        <v>2021</v>
      </c>
      <c r="G28" s="41" t="s">
        <v>2268</v>
      </c>
      <c r="H28" s="3" t="str">
        <f t="shared" si="0"/>
        <v>Recent</v>
      </c>
    </row>
    <row r="29" spans="1:8" ht="12.5" customHeight="1">
      <c r="A29" s="41" t="s">
        <v>2337</v>
      </c>
      <c r="B29" s="41" t="s">
        <v>2224</v>
      </c>
      <c r="C29" s="60" t="s">
        <v>2338</v>
      </c>
      <c r="D29" s="41" t="s">
        <v>2339</v>
      </c>
      <c r="E29" s="41" t="s">
        <v>2340</v>
      </c>
      <c r="F29" s="41">
        <v>2004</v>
      </c>
      <c r="G29" s="41" t="s">
        <v>2341</v>
      </c>
      <c r="H29" s="3" t="str">
        <f t="shared" si="0"/>
        <v>Early</v>
      </c>
    </row>
    <row r="30" spans="1:8" ht="14" customHeight="1">
      <c r="A30" s="41" t="s">
        <v>2342</v>
      </c>
      <c r="B30" s="41" t="s">
        <v>2224</v>
      </c>
      <c r="C30" s="56" t="s">
        <v>2343</v>
      </c>
      <c r="D30" s="41" t="s">
        <v>2344</v>
      </c>
      <c r="E30" s="41" t="s">
        <v>2345</v>
      </c>
      <c r="F30" s="41">
        <v>2013</v>
      </c>
      <c r="G30" s="41" t="s">
        <v>2282</v>
      </c>
      <c r="H30" s="3" t="str">
        <f t="shared" si="0"/>
        <v>Early</v>
      </c>
    </row>
    <row r="31" spans="1:8" ht="14" customHeight="1">
      <c r="A31" s="41" t="s">
        <v>2346</v>
      </c>
      <c r="B31" s="41" t="s">
        <v>2224</v>
      </c>
      <c r="C31" s="61" t="s">
        <v>2347</v>
      </c>
      <c r="D31" s="41" t="s">
        <v>2348</v>
      </c>
      <c r="E31" s="41" t="s">
        <v>2349</v>
      </c>
      <c r="F31" s="41">
        <v>2017</v>
      </c>
      <c r="G31" s="41" t="s">
        <v>2350</v>
      </c>
      <c r="H31" s="3" t="str">
        <f t="shared" si="0"/>
        <v>Early</v>
      </c>
    </row>
    <row r="32" spans="1:8" ht="12.5" customHeight="1">
      <c r="A32" s="41" t="s">
        <v>2351</v>
      </c>
      <c r="B32" s="41" t="s">
        <v>2224</v>
      </c>
      <c r="C32" s="41" t="s">
        <v>2352</v>
      </c>
      <c r="D32" s="41" t="s">
        <v>2353</v>
      </c>
      <c r="E32" s="41" t="s">
        <v>2354</v>
      </c>
      <c r="F32" s="41">
        <v>2021</v>
      </c>
      <c r="G32" s="41" t="s">
        <v>2273</v>
      </c>
      <c r="H32" s="3" t="str">
        <f t="shared" si="0"/>
        <v>Recent</v>
      </c>
    </row>
    <row r="33" spans="1:8" ht="12.5" customHeight="1">
      <c r="A33" s="23" t="s">
        <v>2355</v>
      </c>
      <c r="B33" s="23" t="s">
        <v>2224</v>
      </c>
      <c r="C33" s="37"/>
      <c r="D33" s="23" t="s">
        <v>2356</v>
      </c>
      <c r="E33" s="23" t="s">
        <v>2357</v>
      </c>
      <c r="F33" s="23">
        <v>2016</v>
      </c>
      <c r="G33" s="23" t="s">
        <v>2358</v>
      </c>
      <c r="H33" s="3" t="str">
        <f t="shared" si="0"/>
        <v>Early</v>
      </c>
    </row>
    <row r="34" spans="1:8" ht="14" customHeight="1">
      <c r="A34" s="41" t="s">
        <v>2359</v>
      </c>
      <c r="B34" s="41" t="s">
        <v>2224</v>
      </c>
      <c r="C34" s="62" t="s">
        <v>2360</v>
      </c>
      <c r="D34" s="41" t="s">
        <v>2361</v>
      </c>
      <c r="E34" s="41" t="s">
        <v>2362</v>
      </c>
      <c r="F34" s="41">
        <v>2019</v>
      </c>
      <c r="G34" s="41" t="s">
        <v>2363</v>
      </c>
      <c r="H34" s="3" t="str">
        <f t="shared" si="0"/>
        <v>Middle</v>
      </c>
    </row>
    <row r="35" spans="1:8" ht="12.5" customHeight="1">
      <c r="A35" s="41" t="s">
        <v>2364</v>
      </c>
      <c r="B35" s="41" t="s">
        <v>2224</v>
      </c>
      <c r="C35" s="25" t="s">
        <v>3132</v>
      </c>
      <c r="D35" s="41" t="s">
        <v>2366</v>
      </c>
      <c r="E35" s="41" t="s">
        <v>2367</v>
      </c>
      <c r="F35" s="41">
        <v>2021</v>
      </c>
      <c r="G35" s="41" t="s">
        <v>2256</v>
      </c>
      <c r="H35" s="3" t="str">
        <f t="shared" si="0"/>
        <v>Recent</v>
      </c>
    </row>
    <row r="36" spans="1:8" ht="12.5" customHeight="1">
      <c r="A36" s="41" t="s">
        <v>2368</v>
      </c>
      <c r="B36" s="41" t="s">
        <v>2224</v>
      </c>
      <c r="C36" s="4" t="s">
        <v>3133</v>
      </c>
      <c r="D36" s="41" t="s">
        <v>2370</v>
      </c>
      <c r="E36" s="41" t="s">
        <v>2371</v>
      </c>
      <c r="F36" s="41">
        <v>2021</v>
      </c>
      <c r="G36" s="41" t="s">
        <v>2372</v>
      </c>
      <c r="H36" s="3" t="str">
        <f t="shared" si="0"/>
        <v>Recent</v>
      </c>
    </row>
    <row r="37" spans="1:8" ht="14" customHeight="1">
      <c r="A37" s="41" t="s">
        <v>2373</v>
      </c>
      <c r="B37" s="41" t="s">
        <v>2224</v>
      </c>
      <c r="C37" s="56" t="s">
        <v>2374</v>
      </c>
      <c r="D37" s="41" t="s">
        <v>2375</v>
      </c>
      <c r="E37" s="41" t="s">
        <v>2376</v>
      </c>
      <c r="F37" s="41">
        <v>2018</v>
      </c>
      <c r="G37" s="41" t="s">
        <v>2377</v>
      </c>
      <c r="H37" s="3" t="str">
        <f t="shared" si="0"/>
        <v>Middle</v>
      </c>
    </row>
    <row r="38" spans="1:8" ht="14" customHeight="1">
      <c r="A38" s="23" t="s">
        <v>2378</v>
      </c>
      <c r="B38" s="23" t="s">
        <v>2224</v>
      </c>
      <c r="C38" s="63"/>
      <c r="D38" s="23" t="s">
        <v>2379</v>
      </c>
      <c r="E38" s="23" t="s">
        <v>2380</v>
      </c>
      <c r="F38" s="23">
        <v>2019</v>
      </c>
      <c r="G38" s="23" t="s">
        <v>2381</v>
      </c>
      <c r="H38" s="3" t="str">
        <f t="shared" si="0"/>
        <v>Middle</v>
      </c>
    </row>
    <row r="39" spans="1:8" ht="12.5" customHeight="1">
      <c r="A39" s="41" t="s">
        <v>2382</v>
      </c>
      <c r="B39" s="41" t="s">
        <v>2224</v>
      </c>
      <c r="C39" s="4" t="s">
        <v>3134</v>
      </c>
      <c r="D39" s="41" t="s">
        <v>2384</v>
      </c>
      <c r="E39" s="41" t="s">
        <v>2385</v>
      </c>
      <c r="F39" s="41">
        <v>2013</v>
      </c>
      <c r="G39" s="41" t="s">
        <v>2264</v>
      </c>
      <c r="H39" s="3" t="str">
        <f t="shared" si="0"/>
        <v>Early</v>
      </c>
    </row>
    <row r="40" spans="1:8" ht="15.5" customHeight="1">
      <c r="A40" s="41" t="s">
        <v>2386</v>
      </c>
      <c r="B40" s="41" t="s">
        <v>2224</v>
      </c>
      <c r="C40" s="32" t="s">
        <v>3135</v>
      </c>
      <c r="D40" s="41" t="s">
        <v>2388</v>
      </c>
      <c r="E40" s="41" t="s">
        <v>2389</v>
      </c>
      <c r="F40" s="41">
        <v>2018</v>
      </c>
      <c r="G40" s="41" t="s">
        <v>2264</v>
      </c>
      <c r="H40" s="3" t="str">
        <f t="shared" si="0"/>
        <v>Middle</v>
      </c>
    </row>
    <row r="41" spans="1:8" ht="12.5" customHeight="1">
      <c r="A41" s="23" t="s">
        <v>2390</v>
      </c>
      <c r="B41" s="23" t="s">
        <v>2224</v>
      </c>
      <c r="C41" s="23"/>
      <c r="D41" s="23" t="s">
        <v>2391</v>
      </c>
      <c r="E41" s="23" t="s">
        <v>2392</v>
      </c>
      <c r="F41" s="23">
        <v>2021</v>
      </c>
      <c r="G41" s="23" t="s">
        <v>2393</v>
      </c>
      <c r="H41" s="3" t="str">
        <f t="shared" si="0"/>
        <v>Recent</v>
      </c>
    </row>
    <row r="42" spans="1:8" ht="12.5" customHeight="1">
      <c r="A42" s="41" t="s">
        <v>2394</v>
      </c>
      <c r="B42" s="41" t="s">
        <v>2224</v>
      </c>
      <c r="C42" s="4" t="s">
        <v>3136</v>
      </c>
      <c r="D42" s="41" t="s">
        <v>2396</v>
      </c>
      <c r="E42" s="41" t="s">
        <v>2397</v>
      </c>
      <c r="F42" s="41">
        <v>1986</v>
      </c>
      <c r="G42" s="41" t="s">
        <v>2398</v>
      </c>
      <c r="H42" s="3" t="str">
        <f t="shared" si="0"/>
        <v>Early</v>
      </c>
    </row>
    <row r="43" spans="1:8" ht="12.5" customHeight="1">
      <c r="A43" s="41" t="s">
        <v>2399</v>
      </c>
      <c r="B43" s="41" t="s">
        <v>2224</v>
      </c>
      <c r="C43" s="25" t="s">
        <v>3137</v>
      </c>
      <c r="D43" s="41" t="s">
        <v>2401</v>
      </c>
      <c r="E43" s="41" t="s">
        <v>2402</v>
      </c>
      <c r="F43" s="41">
        <v>2020</v>
      </c>
      <c r="G43" s="41" t="s">
        <v>2273</v>
      </c>
      <c r="H43" s="3" t="str">
        <f t="shared" si="0"/>
        <v>Recent</v>
      </c>
    </row>
    <row r="44" spans="1:8" ht="12.5" customHeight="1">
      <c r="A44" s="41" t="s">
        <v>2403</v>
      </c>
      <c r="B44" s="41" t="s">
        <v>2224</v>
      </c>
      <c r="C44" s="4" t="s">
        <v>3138</v>
      </c>
      <c r="D44" s="41" t="s">
        <v>2405</v>
      </c>
      <c r="E44" s="41" t="s">
        <v>2402</v>
      </c>
      <c r="F44" s="41">
        <v>2010</v>
      </c>
      <c r="G44" s="41" t="s">
        <v>2273</v>
      </c>
      <c r="H44" s="3" t="str">
        <f t="shared" si="0"/>
        <v>Early</v>
      </c>
    </row>
    <row r="45" spans="1:8" ht="12.5" customHeight="1">
      <c r="A45" s="41" t="s">
        <v>2406</v>
      </c>
      <c r="B45" s="41" t="s">
        <v>2224</v>
      </c>
      <c r="C45" s="64" t="s">
        <v>2407</v>
      </c>
      <c r="D45" s="41" t="s">
        <v>2408</v>
      </c>
      <c r="E45" s="41" t="s">
        <v>2402</v>
      </c>
      <c r="F45" s="41">
        <v>2021</v>
      </c>
      <c r="G45" s="41" t="s">
        <v>2409</v>
      </c>
      <c r="H45" s="3" t="str">
        <f t="shared" si="0"/>
        <v>Recent</v>
      </c>
    </row>
    <row r="46" spans="1:8" ht="12.5" customHeight="1">
      <c r="A46" s="41" t="s">
        <v>2410</v>
      </c>
      <c r="B46" s="41" t="s">
        <v>2224</v>
      </c>
      <c r="C46" s="4" t="s">
        <v>3139</v>
      </c>
      <c r="D46" s="41" t="s">
        <v>2412</v>
      </c>
      <c r="E46" s="41" t="s">
        <v>2413</v>
      </c>
      <c r="F46" s="41">
        <v>2019</v>
      </c>
      <c r="G46" s="41" t="s">
        <v>2372</v>
      </c>
      <c r="H46" s="3" t="str">
        <f t="shared" si="0"/>
        <v>Middle</v>
      </c>
    </row>
    <row r="47" spans="1:8" ht="12.5" customHeight="1">
      <c r="A47" s="41" t="s">
        <v>2414</v>
      </c>
      <c r="B47" s="41" t="s">
        <v>2224</v>
      </c>
      <c r="C47" s="4" t="s">
        <v>3140</v>
      </c>
      <c r="D47" s="41" t="s">
        <v>2416</v>
      </c>
      <c r="E47" s="41" t="s">
        <v>2417</v>
      </c>
      <c r="F47" s="41">
        <v>2020</v>
      </c>
      <c r="G47" s="41" t="s">
        <v>2418</v>
      </c>
      <c r="H47" s="3" t="str">
        <f t="shared" si="0"/>
        <v>Recent</v>
      </c>
    </row>
    <row r="48" spans="1:8" ht="15.5" customHeight="1">
      <c r="A48" s="41" t="s">
        <v>2419</v>
      </c>
      <c r="B48" s="41" t="s">
        <v>2224</v>
      </c>
      <c r="C48" s="65" t="s">
        <v>2420</v>
      </c>
      <c r="D48" s="41" t="s">
        <v>2421</v>
      </c>
      <c r="E48" s="41" t="s">
        <v>2422</v>
      </c>
      <c r="F48" s="41">
        <v>2018</v>
      </c>
      <c r="G48" s="41" t="s">
        <v>2246</v>
      </c>
      <c r="H48" s="3" t="str">
        <f t="shared" si="0"/>
        <v>Middle</v>
      </c>
    </row>
    <row r="49" spans="1:8" ht="12.5" customHeight="1">
      <c r="A49" s="41" t="s">
        <v>2423</v>
      </c>
      <c r="B49" s="41" t="s">
        <v>2224</v>
      </c>
      <c r="C49" s="25" t="s">
        <v>3141</v>
      </c>
      <c r="D49" s="41" t="s">
        <v>2425</v>
      </c>
      <c r="E49" s="41" t="s">
        <v>2426</v>
      </c>
      <c r="F49" s="41">
        <v>2022</v>
      </c>
      <c r="G49" s="41" t="s">
        <v>2273</v>
      </c>
      <c r="H49" s="3" t="str">
        <f t="shared" si="0"/>
        <v>Recent</v>
      </c>
    </row>
    <row r="50" spans="1:8" ht="12.5" customHeight="1">
      <c r="A50" s="41" t="s">
        <v>2427</v>
      </c>
      <c r="B50" s="41" t="s">
        <v>2224</v>
      </c>
      <c r="C50" s="4" t="s">
        <v>3142</v>
      </c>
      <c r="D50" s="41" t="s">
        <v>2429</v>
      </c>
      <c r="E50" s="41" t="s">
        <v>2430</v>
      </c>
      <c r="F50" s="41">
        <v>2015</v>
      </c>
      <c r="G50" s="41" t="s">
        <v>2251</v>
      </c>
      <c r="H50" s="3" t="str">
        <f t="shared" si="0"/>
        <v>Early</v>
      </c>
    </row>
    <row r="51" spans="1:8" ht="12.5" customHeight="1">
      <c r="A51" s="41" t="s">
        <v>2431</v>
      </c>
      <c r="B51" s="41" t="s">
        <v>2224</v>
      </c>
      <c r="C51" s="4" t="s">
        <v>3143</v>
      </c>
      <c r="D51" s="41" t="s">
        <v>2433</v>
      </c>
      <c r="E51" s="41" t="s">
        <v>2434</v>
      </c>
      <c r="F51" s="41">
        <v>2015</v>
      </c>
      <c r="G51" s="41" t="s">
        <v>2435</v>
      </c>
      <c r="H51" s="3" t="str">
        <f t="shared" si="0"/>
        <v>Early</v>
      </c>
    </row>
    <row r="52" spans="1:8" ht="12.5" customHeight="1">
      <c r="A52" s="41" t="s">
        <v>2436</v>
      </c>
      <c r="B52" s="41" t="s">
        <v>2224</v>
      </c>
      <c r="C52" s="4" t="s">
        <v>3144</v>
      </c>
      <c r="D52" s="41" t="s">
        <v>2438</v>
      </c>
      <c r="E52" s="41" t="s">
        <v>2434</v>
      </c>
      <c r="F52" s="41">
        <v>2016</v>
      </c>
      <c r="G52" s="41" t="s">
        <v>2439</v>
      </c>
      <c r="H52" s="3" t="str">
        <f t="shared" si="0"/>
        <v>Early</v>
      </c>
    </row>
    <row r="53" spans="1:8" ht="12.5" customHeight="1">
      <c r="A53" s="41" t="s">
        <v>2440</v>
      </c>
      <c r="B53" s="41" t="s">
        <v>2224</v>
      </c>
      <c r="C53" s="4" t="s">
        <v>3145</v>
      </c>
      <c r="D53" s="41" t="s">
        <v>2442</v>
      </c>
      <c r="E53" s="41" t="s">
        <v>2443</v>
      </c>
      <c r="F53" s="41">
        <v>2021</v>
      </c>
      <c r="G53" s="41" t="s">
        <v>2444</v>
      </c>
      <c r="H53" s="3" t="str">
        <f t="shared" si="0"/>
        <v>Recent</v>
      </c>
    </row>
    <row r="54" spans="1:8" ht="12.5" customHeight="1">
      <c r="A54" s="23" t="s">
        <v>2445</v>
      </c>
      <c r="B54" s="23" t="s">
        <v>2224</v>
      </c>
      <c r="C54" s="23"/>
      <c r="D54" s="23" t="s">
        <v>2446</v>
      </c>
      <c r="E54" s="23" t="s">
        <v>2447</v>
      </c>
      <c r="F54" s="23">
        <v>2017</v>
      </c>
      <c r="G54" s="23" t="s">
        <v>2448</v>
      </c>
      <c r="H54" s="3" t="str">
        <f t="shared" si="0"/>
        <v>Early</v>
      </c>
    </row>
    <row r="55" spans="1:8" ht="12.5" customHeight="1">
      <c r="A55" s="23" t="s">
        <v>2449</v>
      </c>
      <c r="B55" s="23" t="s">
        <v>2224</v>
      </c>
      <c r="C55" s="23"/>
      <c r="D55" s="23" t="s">
        <v>2450</v>
      </c>
      <c r="E55" s="23" t="s">
        <v>2451</v>
      </c>
      <c r="F55" s="23">
        <v>2015</v>
      </c>
      <c r="G55" s="23" t="s">
        <v>2302</v>
      </c>
      <c r="H55" s="3" t="str">
        <f t="shared" si="0"/>
        <v>Early</v>
      </c>
    </row>
    <row r="56" spans="1:8" ht="12.5" customHeight="1">
      <c r="A56" s="23" t="s">
        <v>2452</v>
      </c>
      <c r="B56" s="23" t="s">
        <v>2224</v>
      </c>
      <c r="C56" s="23"/>
      <c r="D56" s="23" t="s">
        <v>2453</v>
      </c>
      <c r="E56" s="23" t="s">
        <v>2451</v>
      </c>
      <c r="F56" s="23">
        <v>2019</v>
      </c>
      <c r="G56" s="23" t="s">
        <v>2302</v>
      </c>
      <c r="H56" s="3" t="str">
        <f t="shared" si="0"/>
        <v>Middle</v>
      </c>
    </row>
    <row r="57" spans="1:8" ht="12.5" customHeight="1">
      <c r="A57" s="41" t="s">
        <v>2454</v>
      </c>
      <c r="B57" s="41" t="s">
        <v>2224</v>
      </c>
      <c r="C57" s="4" t="s">
        <v>3146</v>
      </c>
      <c r="D57" s="41" t="s">
        <v>2456</v>
      </c>
      <c r="E57" s="41" t="s">
        <v>2457</v>
      </c>
      <c r="F57" s="41">
        <v>2018</v>
      </c>
      <c r="G57" s="41" t="s">
        <v>2458</v>
      </c>
      <c r="H57" s="3" t="str">
        <f t="shared" si="0"/>
        <v>Middle</v>
      </c>
    </row>
  </sheetData>
  <hyperlinks>
    <hyperlink ref="C4" r:id="rId1" xr:uid="{00000000-0004-0000-0C00-000000000000}"/>
    <hyperlink ref="C5" r:id="rId2" xr:uid="{00000000-0004-0000-0C00-000001000000}"/>
    <hyperlink ref="C6" r:id="rId3" xr:uid="{00000000-0004-0000-0C00-000002000000}"/>
    <hyperlink ref="C7" r:id="rId4" xr:uid="{00000000-0004-0000-0C00-000003000000}"/>
    <hyperlink ref="C8" r:id="rId5" xr:uid="{00000000-0004-0000-0C00-000004000000}"/>
    <hyperlink ref="C9" r:id="rId6" xr:uid="{00000000-0004-0000-0C00-000005000000}"/>
    <hyperlink ref="C10" r:id="rId7" xr:uid="{00000000-0004-0000-0C00-000006000000}"/>
    <hyperlink ref="C11" r:id="rId8" xr:uid="{00000000-0004-0000-0C00-000007000000}"/>
    <hyperlink ref="C12" r:id="rId9" xr:uid="{00000000-0004-0000-0C00-000008000000}"/>
    <hyperlink ref="C13" r:id="rId10" xr:uid="{00000000-0004-0000-0C00-000009000000}"/>
    <hyperlink ref="C14" r:id="rId11" xr:uid="{00000000-0004-0000-0C00-00000A000000}"/>
    <hyperlink ref="C15" r:id="rId12" xr:uid="{00000000-0004-0000-0C00-00000B000000}"/>
    <hyperlink ref="C16" r:id="rId13" xr:uid="{00000000-0004-0000-0C00-00000C000000}"/>
    <hyperlink ref="C17" r:id="rId14" xr:uid="{00000000-0004-0000-0C00-00000D000000}"/>
    <hyperlink ref="C18" r:id="rId15" xr:uid="{00000000-0004-0000-0C00-00000E000000}"/>
    <hyperlink ref="C20" r:id="rId16" xr:uid="{00000000-0004-0000-0C00-00000F000000}"/>
    <hyperlink ref="C21" r:id="rId17" xr:uid="{00000000-0004-0000-0C00-000010000000}"/>
    <hyperlink ref="C23" r:id="rId18" xr:uid="{00000000-0004-0000-0C00-000011000000}"/>
    <hyperlink ref="C25" r:id="rId19" xr:uid="{00000000-0004-0000-0C00-000012000000}"/>
    <hyperlink ref="C26" r:id="rId20" xr:uid="{00000000-0004-0000-0C00-000013000000}"/>
    <hyperlink ref="C27" r:id="rId21" xr:uid="{00000000-0004-0000-0C00-000014000000}"/>
    <hyperlink ref="C28" r:id="rId22" xr:uid="{00000000-0004-0000-0C00-000015000000}"/>
    <hyperlink ref="C29" r:id="rId23" xr:uid="{00000000-0004-0000-0C00-000016000000}"/>
    <hyperlink ref="C30" r:id="rId24" xr:uid="{00000000-0004-0000-0C00-000017000000}"/>
    <hyperlink ref="C31" r:id="rId25" xr:uid="{00000000-0004-0000-0C00-000018000000}"/>
    <hyperlink ref="C34" r:id="rId26" xr:uid="{00000000-0004-0000-0C00-000019000000}"/>
    <hyperlink ref="C35" r:id="rId27" xr:uid="{00000000-0004-0000-0C00-00001A000000}"/>
    <hyperlink ref="C36" r:id="rId28" xr:uid="{00000000-0004-0000-0C00-00001B000000}"/>
    <hyperlink ref="C37" r:id="rId29" xr:uid="{00000000-0004-0000-0C00-00001C000000}"/>
    <hyperlink ref="C39" r:id="rId30" xr:uid="{00000000-0004-0000-0C00-00001D000000}"/>
    <hyperlink ref="C40" r:id="rId31" xr:uid="{00000000-0004-0000-0C00-00001E000000}"/>
    <hyperlink ref="C42" r:id="rId32" xr:uid="{00000000-0004-0000-0C00-00001F000000}"/>
    <hyperlink ref="C43" r:id="rId33" xr:uid="{00000000-0004-0000-0C00-000020000000}"/>
    <hyperlink ref="C44" r:id="rId34" xr:uid="{00000000-0004-0000-0C00-000021000000}"/>
    <hyperlink ref="C46" r:id="rId35" xr:uid="{00000000-0004-0000-0C00-000022000000}"/>
    <hyperlink ref="C47" r:id="rId36" xr:uid="{00000000-0004-0000-0C00-000023000000}"/>
    <hyperlink ref="C49" r:id="rId37" xr:uid="{00000000-0004-0000-0C00-000024000000}"/>
    <hyperlink ref="C50" r:id="rId38" xr:uid="{00000000-0004-0000-0C00-000025000000}"/>
    <hyperlink ref="C51" r:id="rId39" xr:uid="{00000000-0004-0000-0C00-000026000000}"/>
    <hyperlink ref="C52" r:id="rId40" xr:uid="{00000000-0004-0000-0C00-000027000000}"/>
    <hyperlink ref="C53" r:id="rId41" xr:uid="{00000000-0004-0000-0C00-000028000000}"/>
    <hyperlink ref="C57" r:id="rId42" xr:uid="{00000000-0004-0000-0C00-000029000000}"/>
  </hyperlink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52"/>
  <sheetViews>
    <sheetView workbookViewId="0"/>
  </sheetViews>
  <sheetFormatPr defaultColWidth="10.90625" defaultRowHeight="12.5"/>
  <cols>
    <col min="3" max="3" width="73.269531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23" t="s">
        <v>2459</v>
      </c>
      <c r="B2" s="23" t="s">
        <v>2460</v>
      </c>
      <c r="C2" s="66"/>
      <c r="D2" s="23" t="s">
        <v>2461</v>
      </c>
      <c r="E2" s="23" t="s">
        <v>2462</v>
      </c>
      <c r="F2" s="23">
        <v>1997</v>
      </c>
      <c r="G2" s="23" t="s">
        <v>2463</v>
      </c>
      <c r="H2" s="3" t="str">
        <f t="shared" ref="H2:H52" si="0">IF(F2="","",
  IF(F2&lt;=PERCENTILE(IF($B:$B=B2,$F:$F),0.33),"Early",
    IF(F2&lt;=PERCENTILE(IF($B:$B=B2,$F:$F),0.67),"Middle","Recent")))</f>
        <v>Early</v>
      </c>
    </row>
    <row r="3" spans="1:26" ht="15.75" customHeight="1">
      <c r="A3" s="23" t="s">
        <v>2464</v>
      </c>
      <c r="B3" s="23" t="s">
        <v>2460</v>
      </c>
      <c r="C3" s="23"/>
      <c r="D3" s="23" t="s">
        <v>2465</v>
      </c>
      <c r="E3" s="23" t="s">
        <v>2466</v>
      </c>
      <c r="F3" s="23">
        <v>2016</v>
      </c>
      <c r="G3" s="23" t="s">
        <v>2467</v>
      </c>
      <c r="H3" s="3" t="str">
        <f t="shared" si="0"/>
        <v>Recent</v>
      </c>
    </row>
    <row r="4" spans="1:26" ht="15.75" customHeight="1">
      <c r="A4" s="30" t="s">
        <v>2468</v>
      </c>
      <c r="B4" s="30" t="s">
        <v>2460</v>
      </c>
      <c r="C4" s="4" t="s">
        <v>3147</v>
      </c>
      <c r="D4" s="30" t="s">
        <v>2470</v>
      </c>
      <c r="E4" s="30" t="s">
        <v>2471</v>
      </c>
      <c r="F4" s="30">
        <v>2004</v>
      </c>
      <c r="G4" s="30" t="s">
        <v>2472</v>
      </c>
      <c r="H4" s="3" t="str">
        <f t="shared" si="0"/>
        <v>Early</v>
      </c>
    </row>
    <row r="5" spans="1:26" ht="15.75" customHeight="1">
      <c r="A5" s="30" t="s">
        <v>2473</v>
      </c>
      <c r="B5" s="30" t="s">
        <v>2460</v>
      </c>
      <c r="C5" s="4" t="s">
        <v>3148</v>
      </c>
      <c r="D5" s="30" t="s">
        <v>2475</v>
      </c>
      <c r="E5" s="30" t="s">
        <v>316</v>
      </c>
      <c r="F5" s="30">
        <v>2017</v>
      </c>
      <c r="G5" s="30" t="s">
        <v>2476</v>
      </c>
      <c r="H5" s="3" t="str">
        <f t="shared" si="0"/>
        <v>Recent</v>
      </c>
    </row>
    <row r="6" spans="1:26" ht="15.75" customHeight="1">
      <c r="A6" s="30" t="s">
        <v>2477</v>
      </c>
      <c r="B6" s="30" t="s">
        <v>2460</v>
      </c>
      <c r="C6" s="32" t="s">
        <v>3149</v>
      </c>
      <c r="D6" s="30" t="s">
        <v>2479</v>
      </c>
      <c r="E6" s="30" t="s">
        <v>2480</v>
      </c>
      <c r="F6" s="30">
        <v>2003</v>
      </c>
      <c r="G6" s="30" t="s">
        <v>2481</v>
      </c>
      <c r="H6" s="3" t="str">
        <f t="shared" si="0"/>
        <v>Early</v>
      </c>
    </row>
    <row r="7" spans="1:26" ht="15.75" customHeight="1">
      <c r="A7" s="30" t="s">
        <v>2482</v>
      </c>
      <c r="B7" s="30" t="s">
        <v>2460</v>
      </c>
      <c r="C7" s="4" t="s">
        <v>3150</v>
      </c>
      <c r="D7" s="30" t="s">
        <v>2484</v>
      </c>
      <c r="E7" s="30" t="s">
        <v>2485</v>
      </c>
      <c r="F7" s="30">
        <v>2007</v>
      </c>
      <c r="G7" s="30" t="s">
        <v>2472</v>
      </c>
      <c r="H7" s="3" t="str">
        <f t="shared" si="0"/>
        <v>Middle</v>
      </c>
    </row>
    <row r="8" spans="1:26" ht="15.75" customHeight="1">
      <c r="A8" s="30" t="s">
        <v>2486</v>
      </c>
      <c r="B8" s="30" t="s">
        <v>2460</v>
      </c>
      <c r="C8" s="4" t="s">
        <v>3151</v>
      </c>
      <c r="D8" s="30" t="s">
        <v>2488</v>
      </c>
      <c r="E8" s="30" t="s">
        <v>2489</v>
      </c>
      <c r="F8" s="30">
        <v>2019</v>
      </c>
      <c r="G8" s="30" t="s">
        <v>2490</v>
      </c>
      <c r="H8" s="3" t="str">
        <f t="shared" si="0"/>
        <v>Recent</v>
      </c>
    </row>
    <row r="9" spans="1:26" ht="15.75" customHeight="1">
      <c r="A9" s="30" t="s">
        <v>2491</v>
      </c>
      <c r="B9" s="30" t="s">
        <v>2460</v>
      </c>
      <c r="C9" s="4" t="s">
        <v>3152</v>
      </c>
      <c r="D9" s="30" t="s">
        <v>2493</v>
      </c>
      <c r="E9" s="30" t="s">
        <v>2494</v>
      </c>
      <c r="F9" s="30">
        <v>2004</v>
      </c>
      <c r="G9" s="30" t="s">
        <v>2495</v>
      </c>
      <c r="H9" s="3" t="str">
        <f t="shared" si="0"/>
        <v>Early</v>
      </c>
    </row>
    <row r="10" spans="1:26" ht="15.75" customHeight="1">
      <c r="A10" s="30" t="s">
        <v>2496</v>
      </c>
      <c r="B10" s="30" t="s">
        <v>2460</v>
      </c>
      <c r="C10" s="4" t="s">
        <v>3153</v>
      </c>
      <c r="D10" s="30" t="s">
        <v>2498</v>
      </c>
      <c r="E10" s="30" t="s">
        <v>2499</v>
      </c>
      <c r="F10" s="30">
        <v>2009</v>
      </c>
      <c r="G10" s="30" t="s">
        <v>2490</v>
      </c>
      <c r="H10" s="3" t="str">
        <f t="shared" si="0"/>
        <v>Middle</v>
      </c>
    </row>
    <row r="11" spans="1:26" ht="15.75" customHeight="1">
      <c r="A11" s="18" t="s">
        <v>2500</v>
      </c>
      <c r="B11" s="18" t="s">
        <v>2460</v>
      </c>
      <c r="C11" s="18" t="s">
        <v>2501</v>
      </c>
      <c r="D11" s="18" t="s">
        <v>2502</v>
      </c>
      <c r="E11" s="18" t="s">
        <v>2503</v>
      </c>
      <c r="F11" s="18">
        <v>1999</v>
      </c>
      <c r="G11" s="18" t="s">
        <v>2504</v>
      </c>
      <c r="H11" s="3" t="str">
        <f t="shared" si="0"/>
        <v>Early</v>
      </c>
    </row>
    <row r="12" spans="1:26" ht="15.75" customHeight="1">
      <c r="A12" s="23" t="s">
        <v>2505</v>
      </c>
      <c r="B12" s="23" t="s">
        <v>2460</v>
      </c>
      <c r="C12" s="23"/>
      <c r="D12" s="23" t="s">
        <v>2506</v>
      </c>
      <c r="E12" s="23" t="s">
        <v>2507</v>
      </c>
      <c r="F12" s="23">
        <v>2000</v>
      </c>
      <c r="G12" s="23" t="s">
        <v>2508</v>
      </c>
      <c r="H12" s="3" t="str">
        <f t="shared" si="0"/>
        <v>Early</v>
      </c>
    </row>
    <row r="13" spans="1:26" ht="15.75" customHeight="1">
      <c r="A13" s="30" t="s">
        <v>2509</v>
      </c>
      <c r="B13" s="30" t="s">
        <v>2460</v>
      </c>
      <c r="C13" s="32" t="s">
        <v>3154</v>
      </c>
      <c r="D13" s="30" t="s">
        <v>2511</v>
      </c>
      <c r="E13" s="30" t="s">
        <v>2512</v>
      </c>
      <c r="F13" s="30">
        <v>2018</v>
      </c>
      <c r="G13" s="30" t="s">
        <v>2513</v>
      </c>
      <c r="H13" s="3" t="str">
        <f t="shared" si="0"/>
        <v>Recent</v>
      </c>
    </row>
    <row r="14" spans="1:26" ht="15.75" customHeight="1">
      <c r="A14" s="30" t="s">
        <v>2514</v>
      </c>
      <c r="B14" s="30" t="s">
        <v>2460</v>
      </c>
      <c r="C14" s="4" t="s">
        <v>3155</v>
      </c>
      <c r="D14" s="30" t="s">
        <v>2516</v>
      </c>
      <c r="E14" s="30" t="s">
        <v>2517</v>
      </c>
      <c r="F14" s="30">
        <v>2000</v>
      </c>
      <c r="G14" s="30" t="s">
        <v>2518</v>
      </c>
      <c r="H14" s="3" t="str">
        <f t="shared" si="0"/>
        <v>Early</v>
      </c>
    </row>
    <row r="15" spans="1:26" ht="15.75" customHeight="1">
      <c r="A15" s="30" t="s">
        <v>2519</v>
      </c>
      <c r="B15" s="30" t="s">
        <v>2460</v>
      </c>
      <c r="C15" s="4" t="s">
        <v>3156</v>
      </c>
      <c r="D15" s="30" t="s">
        <v>2521</v>
      </c>
      <c r="E15" s="30" t="s">
        <v>416</v>
      </c>
      <c r="F15" s="30">
        <v>2015</v>
      </c>
      <c r="G15" s="30" t="s">
        <v>2522</v>
      </c>
      <c r="H15" s="3" t="str">
        <f t="shared" si="0"/>
        <v>Recent</v>
      </c>
    </row>
    <row r="16" spans="1:26" ht="15.75" customHeight="1">
      <c r="A16" s="30" t="s">
        <v>2523</v>
      </c>
      <c r="B16" s="30" t="s">
        <v>2460</v>
      </c>
      <c r="C16" s="31" t="s">
        <v>2524</v>
      </c>
      <c r="D16" s="30" t="s">
        <v>2525</v>
      </c>
      <c r="E16" s="30" t="s">
        <v>2526</v>
      </c>
      <c r="F16" s="30">
        <v>2008</v>
      </c>
      <c r="G16" s="30" t="s">
        <v>2490</v>
      </c>
      <c r="H16" s="3" t="str">
        <f t="shared" si="0"/>
        <v>Middle</v>
      </c>
    </row>
    <row r="17" spans="1:8" ht="15.75" customHeight="1">
      <c r="A17" s="30" t="s">
        <v>2527</v>
      </c>
      <c r="B17" s="30" t="s">
        <v>2460</v>
      </c>
      <c r="C17" s="31" t="s">
        <v>2528</v>
      </c>
      <c r="D17" s="30" t="s">
        <v>2529</v>
      </c>
      <c r="E17" s="30" t="s">
        <v>2530</v>
      </c>
      <c r="F17" s="30">
        <v>2004</v>
      </c>
      <c r="G17" s="30" t="s">
        <v>2490</v>
      </c>
      <c r="H17" s="3" t="str">
        <f t="shared" si="0"/>
        <v>Early</v>
      </c>
    </row>
    <row r="18" spans="1:8" ht="15.75" customHeight="1">
      <c r="A18" s="30" t="s">
        <v>2531</v>
      </c>
      <c r="B18" s="30" t="s">
        <v>2460</v>
      </c>
      <c r="C18" s="31" t="s">
        <v>2532</v>
      </c>
      <c r="D18" s="30" t="s">
        <v>2533</v>
      </c>
      <c r="E18" s="30" t="s">
        <v>2534</v>
      </c>
      <c r="F18" s="30">
        <v>2006</v>
      </c>
      <c r="G18" s="30" t="s">
        <v>2535</v>
      </c>
      <c r="H18" s="3" t="str">
        <f t="shared" si="0"/>
        <v>Middle</v>
      </c>
    </row>
    <row r="19" spans="1:8" ht="15.75" customHeight="1">
      <c r="A19" s="30" t="s">
        <v>2536</v>
      </c>
      <c r="B19" s="30" t="s">
        <v>2460</v>
      </c>
      <c r="C19" s="31" t="s">
        <v>2537</v>
      </c>
      <c r="D19" s="30" t="s">
        <v>2538</v>
      </c>
      <c r="E19" s="30" t="s">
        <v>2539</v>
      </c>
      <c r="F19" s="30">
        <v>2004</v>
      </c>
      <c r="G19" s="30" t="s">
        <v>2490</v>
      </c>
      <c r="H19" s="3" t="str">
        <f t="shared" si="0"/>
        <v>Early</v>
      </c>
    </row>
    <row r="20" spans="1:8" ht="12.5" customHeight="1">
      <c r="A20" s="30" t="s">
        <v>2540</v>
      </c>
      <c r="B20" s="30" t="s">
        <v>2460</v>
      </c>
      <c r="C20" s="31" t="s">
        <v>2541</v>
      </c>
      <c r="D20" s="30" t="s">
        <v>2542</v>
      </c>
      <c r="E20" s="30" t="s">
        <v>2543</v>
      </c>
      <c r="F20" s="30">
        <v>2016</v>
      </c>
      <c r="G20" s="30" t="s">
        <v>2490</v>
      </c>
      <c r="H20" s="3" t="str">
        <f t="shared" si="0"/>
        <v>Recent</v>
      </c>
    </row>
    <row r="21" spans="1:8" ht="12.5" customHeight="1">
      <c r="A21" s="30" t="s">
        <v>2544</v>
      </c>
      <c r="B21" s="30" t="s">
        <v>2460</v>
      </c>
      <c r="C21" s="31" t="s">
        <v>2545</v>
      </c>
      <c r="D21" s="30" t="s">
        <v>2546</v>
      </c>
      <c r="E21" s="30" t="s">
        <v>2547</v>
      </c>
      <c r="F21" s="30">
        <v>2011</v>
      </c>
      <c r="G21" s="30" t="s">
        <v>2548</v>
      </c>
      <c r="H21" s="3" t="str">
        <f t="shared" si="0"/>
        <v>Middle</v>
      </c>
    </row>
    <row r="22" spans="1:8" ht="12.5" customHeight="1">
      <c r="A22" s="30" t="s">
        <v>2549</v>
      </c>
      <c r="B22" s="30" t="s">
        <v>2460</v>
      </c>
      <c r="C22" s="31" t="s">
        <v>2550</v>
      </c>
      <c r="D22" s="30" t="s">
        <v>2551</v>
      </c>
      <c r="E22" s="30" t="s">
        <v>2552</v>
      </c>
      <c r="F22" s="30">
        <v>2011</v>
      </c>
      <c r="G22" s="30" t="s">
        <v>2490</v>
      </c>
      <c r="H22" s="3" t="str">
        <f t="shared" si="0"/>
        <v>Middle</v>
      </c>
    </row>
    <row r="23" spans="1:8" ht="12.5" customHeight="1">
      <c r="A23" s="30" t="s">
        <v>2553</v>
      </c>
      <c r="B23" s="30" t="s">
        <v>2460</v>
      </c>
      <c r="C23" s="31" t="s">
        <v>2554</v>
      </c>
      <c r="D23" s="30" t="s">
        <v>2555</v>
      </c>
      <c r="E23" s="30" t="s">
        <v>2552</v>
      </c>
      <c r="F23" s="30">
        <v>2016</v>
      </c>
      <c r="G23" s="30" t="s">
        <v>2490</v>
      </c>
      <c r="H23" s="3" t="str">
        <f t="shared" si="0"/>
        <v>Recent</v>
      </c>
    </row>
    <row r="24" spans="1:8" ht="12.5" customHeight="1">
      <c r="A24" s="30" t="s">
        <v>2556</v>
      </c>
      <c r="B24" s="30" t="s">
        <v>2460</v>
      </c>
      <c r="C24" s="31" t="s">
        <v>2557</v>
      </c>
      <c r="D24" s="30" t="s">
        <v>2558</v>
      </c>
      <c r="E24" s="30" t="s">
        <v>2559</v>
      </c>
      <c r="F24" s="30">
        <v>2005</v>
      </c>
      <c r="G24" s="30" t="s">
        <v>2472</v>
      </c>
      <c r="H24" s="3" t="str">
        <f t="shared" si="0"/>
        <v>Middle</v>
      </c>
    </row>
    <row r="25" spans="1:8" ht="12.5" customHeight="1">
      <c r="A25" s="30" t="s">
        <v>2560</v>
      </c>
      <c r="B25" s="30" t="s">
        <v>2460</v>
      </c>
      <c r="C25" s="31" t="s">
        <v>2561</v>
      </c>
      <c r="D25" s="30" t="s">
        <v>2562</v>
      </c>
      <c r="E25" s="30" t="s">
        <v>2563</v>
      </c>
      <c r="F25" s="30">
        <v>2019</v>
      </c>
      <c r="G25" s="30" t="s">
        <v>2490</v>
      </c>
      <c r="H25" s="3" t="str">
        <f t="shared" si="0"/>
        <v>Recent</v>
      </c>
    </row>
    <row r="26" spans="1:8" ht="12.5" customHeight="1">
      <c r="A26" s="30" t="s">
        <v>2564</v>
      </c>
      <c r="B26" s="30" t="s">
        <v>2460</v>
      </c>
      <c r="C26" s="31" t="s">
        <v>2565</v>
      </c>
      <c r="D26" s="30" t="s">
        <v>2566</v>
      </c>
      <c r="E26" s="30" t="s">
        <v>2567</v>
      </c>
      <c r="F26" s="30">
        <v>2005</v>
      </c>
      <c r="G26" s="30" t="s">
        <v>2472</v>
      </c>
      <c r="H26" s="3" t="str">
        <f t="shared" si="0"/>
        <v>Middle</v>
      </c>
    </row>
    <row r="27" spans="1:8" ht="12.5" customHeight="1">
      <c r="A27" s="30" t="s">
        <v>2568</v>
      </c>
      <c r="B27" s="30" t="s">
        <v>2460</v>
      </c>
      <c r="C27" s="31" t="s">
        <v>2569</v>
      </c>
      <c r="D27" s="30" t="s">
        <v>2570</v>
      </c>
      <c r="E27" s="30" t="s">
        <v>2571</v>
      </c>
      <c r="F27" s="30">
        <v>2004</v>
      </c>
      <c r="G27" s="30" t="s">
        <v>2472</v>
      </c>
      <c r="H27" s="3" t="str">
        <f t="shared" si="0"/>
        <v>Early</v>
      </c>
    </row>
    <row r="28" spans="1:8" ht="12.5" customHeight="1">
      <c r="A28" s="18" t="s">
        <v>2572</v>
      </c>
      <c r="B28" s="18" t="s">
        <v>2460</v>
      </c>
      <c r="C28" s="18" t="s">
        <v>2573</v>
      </c>
      <c r="D28" s="18" t="s">
        <v>2574</v>
      </c>
      <c r="E28" s="18" t="s">
        <v>2575</v>
      </c>
      <c r="F28" s="18">
        <v>1983</v>
      </c>
      <c r="G28" s="18" t="s">
        <v>2576</v>
      </c>
      <c r="H28" s="3" t="str">
        <f t="shared" si="0"/>
        <v>Early</v>
      </c>
    </row>
    <row r="29" spans="1:8" ht="12.5" customHeight="1">
      <c r="A29" s="30" t="s">
        <v>2577</v>
      </c>
      <c r="B29" s="30" t="s">
        <v>2460</v>
      </c>
      <c r="C29" s="31" t="s">
        <v>2578</v>
      </c>
      <c r="D29" s="30" t="s">
        <v>2579</v>
      </c>
      <c r="E29" s="30" t="s">
        <v>2580</v>
      </c>
      <c r="F29" s="30">
        <v>2013</v>
      </c>
      <c r="G29" s="30" t="s">
        <v>2581</v>
      </c>
      <c r="H29" s="3" t="str">
        <f t="shared" si="0"/>
        <v>Recent</v>
      </c>
    </row>
    <row r="30" spans="1:8" ht="12.5" customHeight="1">
      <c r="A30" s="30" t="s">
        <v>2582</v>
      </c>
      <c r="B30" s="30" t="s">
        <v>2460</v>
      </c>
      <c r="C30" s="31" t="s">
        <v>2583</v>
      </c>
      <c r="D30" s="30" t="s">
        <v>2584</v>
      </c>
      <c r="E30" s="30" t="s">
        <v>2585</v>
      </c>
      <c r="F30" s="30">
        <v>2003</v>
      </c>
      <c r="G30" s="30" t="s">
        <v>2586</v>
      </c>
      <c r="H30" s="3" t="str">
        <f t="shared" si="0"/>
        <v>Early</v>
      </c>
    </row>
    <row r="31" spans="1:8" ht="12.5" customHeight="1">
      <c r="A31" s="30" t="s">
        <v>2587</v>
      </c>
      <c r="B31" s="30" t="s">
        <v>2460</v>
      </c>
      <c r="C31" s="31" t="s">
        <v>2588</v>
      </c>
      <c r="D31" s="30" t="s">
        <v>2589</v>
      </c>
      <c r="E31" s="30" t="s">
        <v>2590</v>
      </c>
      <c r="F31" s="30">
        <v>2009</v>
      </c>
      <c r="G31" s="30" t="s">
        <v>2591</v>
      </c>
      <c r="H31" s="3" t="str">
        <f t="shared" si="0"/>
        <v>Middle</v>
      </c>
    </row>
    <row r="32" spans="1:8" ht="12.5" customHeight="1">
      <c r="A32" s="30" t="s">
        <v>2592</v>
      </c>
      <c r="B32" s="30" t="s">
        <v>2460</v>
      </c>
      <c r="C32" s="30" t="s">
        <v>2593</v>
      </c>
      <c r="D32" s="30" t="s">
        <v>2594</v>
      </c>
      <c r="E32" s="30" t="s">
        <v>2595</v>
      </c>
      <c r="F32" s="30">
        <v>2006</v>
      </c>
      <c r="G32" s="30" t="s">
        <v>2596</v>
      </c>
      <c r="H32" s="3" t="str">
        <f t="shared" si="0"/>
        <v>Middle</v>
      </c>
    </row>
    <row r="33" spans="1:8" ht="12.5" customHeight="1">
      <c r="A33" s="30" t="s">
        <v>2597</v>
      </c>
      <c r="B33" s="30" t="s">
        <v>2460</v>
      </c>
      <c r="C33" s="31" t="s">
        <v>2598</v>
      </c>
      <c r="D33" s="30" t="s">
        <v>2599</v>
      </c>
      <c r="E33" s="30" t="s">
        <v>1918</v>
      </c>
      <c r="F33" s="30">
        <v>2002</v>
      </c>
      <c r="G33" s="30" t="s">
        <v>2518</v>
      </c>
      <c r="H33" s="3" t="str">
        <f t="shared" si="0"/>
        <v>Early</v>
      </c>
    </row>
    <row r="34" spans="1:8" ht="12.5" customHeight="1">
      <c r="A34" s="30" t="s">
        <v>2600</v>
      </c>
      <c r="B34" s="30" t="s">
        <v>2460</v>
      </c>
      <c r="C34" s="31" t="s">
        <v>2601</v>
      </c>
      <c r="D34" s="30" t="s">
        <v>2602</v>
      </c>
      <c r="E34" s="30" t="s">
        <v>2603</v>
      </c>
      <c r="F34" s="30">
        <v>2009</v>
      </c>
      <c r="G34" s="30" t="s">
        <v>2604</v>
      </c>
      <c r="H34" s="3" t="str">
        <f t="shared" si="0"/>
        <v>Middle</v>
      </c>
    </row>
    <row r="35" spans="1:8" ht="12.5" customHeight="1">
      <c r="A35" s="30" t="s">
        <v>2605</v>
      </c>
      <c r="B35" s="30" t="s">
        <v>2460</v>
      </c>
      <c r="C35" s="31" t="s">
        <v>2606</v>
      </c>
      <c r="D35" s="30" t="s">
        <v>2607</v>
      </c>
      <c r="E35" s="30" t="s">
        <v>2608</v>
      </c>
      <c r="F35" s="30">
        <v>2012</v>
      </c>
      <c r="G35" s="30" t="s">
        <v>2490</v>
      </c>
      <c r="H35" s="3" t="str">
        <f t="shared" si="0"/>
        <v>Recent</v>
      </c>
    </row>
    <row r="36" spans="1:8" ht="12.5" customHeight="1">
      <c r="A36" s="30" t="s">
        <v>2609</v>
      </c>
      <c r="B36" s="30" t="s">
        <v>2460</v>
      </c>
      <c r="C36" s="4" t="s">
        <v>3157</v>
      </c>
      <c r="D36" s="30" t="s">
        <v>2611</v>
      </c>
      <c r="E36" s="30" t="s">
        <v>2608</v>
      </c>
      <c r="F36" s="30">
        <v>2013</v>
      </c>
      <c r="G36" s="30" t="s">
        <v>2612</v>
      </c>
      <c r="H36" s="3" t="str">
        <f t="shared" si="0"/>
        <v>Recent</v>
      </c>
    </row>
    <row r="37" spans="1:8" ht="12.5" customHeight="1">
      <c r="A37" s="30" t="s">
        <v>2613</v>
      </c>
      <c r="B37" s="30" t="s">
        <v>2460</v>
      </c>
      <c r="C37" s="31" t="s">
        <v>2614</v>
      </c>
      <c r="D37" s="30" t="s">
        <v>2615</v>
      </c>
      <c r="E37" s="30" t="s">
        <v>2616</v>
      </c>
      <c r="F37" s="30">
        <v>2007</v>
      </c>
      <c r="G37" s="30" t="s">
        <v>2495</v>
      </c>
      <c r="H37" s="3" t="str">
        <f t="shared" si="0"/>
        <v>Middle</v>
      </c>
    </row>
    <row r="38" spans="1:8" ht="12.5" customHeight="1">
      <c r="A38" s="30" t="s">
        <v>2617</v>
      </c>
      <c r="B38" s="30" t="s">
        <v>2460</v>
      </c>
      <c r="C38" s="31" t="s">
        <v>2618</v>
      </c>
      <c r="D38" s="30" t="s">
        <v>2619</v>
      </c>
      <c r="E38" s="30" t="s">
        <v>2620</v>
      </c>
      <c r="F38" s="30">
        <v>2000</v>
      </c>
      <c r="G38" s="30" t="s">
        <v>2535</v>
      </c>
      <c r="H38" s="3" t="str">
        <f t="shared" si="0"/>
        <v>Early</v>
      </c>
    </row>
    <row r="39" spans="1:8" ht="12.5" customHeight="1">
      <c r="A39" s="30" t="s">
        <v>2621</v>
      </c>
      <c r="B39" s="30" t="s">
        <v>2460</v>
      </c>
      <c r="C39" s="31" t="s">
        <v>2622</v>
      </c>
      <c r="D39" s="30" t="s">
        <v>2623</v>
      </c>
      <c r="E39" s="30" t="s">
        <v>2624</v>
      </c>
      <c r="F39" s="30">
        <v>2019</v>
      </c>
      <c r="G39" s="30" t="s">
        <v>2522</v>
      </c>
      <c r="H39" s="3" t="str">
        <f t="shared" si="0"/>
        <v>Recent</v>
      </c>
    </row>
    <row r="40" spans="1:8" ht="12.5" customHeight="1">
      <c r="A40" s="30" t="s">
        <v>2625</v>
      </c>
      <c r="B40" s="30" t="s">
        <v>2460</v>
      </c>
      <c r="C40" s="31" t="s">
        <v>2626</v>
      </c>
      <c r="D40" s="30" t="s">
        <v>2627</v>
      </c>
      <c r="E40" s="30" t="s">
        <v>2628</v>
      </c>
      <c r="F40" s="30">
        <v>2005</v>
      </c>
      <c r="G40" s="30" t="s">
        <v>2490</v>
      </c>
      <c r="H40" s="3" t="str">
        <f t="shared" si="0"/>
        <v>Middle</v>
      </c>
    </row>
    <row r="41" spans="1:8" ht="12.5" customHeight="1">
      <c r="A41" s="30" t="s">
        <v>2629</v>
      </c>
      <c r="B41" s="30" t="s">
        <v>2460</v>
      </c>
      <c r="C41" s="31" t="s">
        <v>2630</v>
      </c>
      <c r="D41" s="30" t="s">
        <v>2631</v>
      </c>
      <c r="E41" s="30" t="s">
        <v>2632</v>
      </c>
      <c r="F41" s="30">
        <v>1981</v>
      </c>
      <c r="G41" s="30" t="s">
        <v>2633</v>
      </c>
      <c r="H41" s="3" t="str">
        <f t="shared" si="0"/>
        <v>Early</v>
      </c>
    </row>
    <row r="42" spans="1:8" ht="12.5" customHeight="1">
      <c r="A42" s="30" t="s">
        <v>2634</v>
      </c>
      <c r="B42" s="30" t="s">
        <v>2460</v>
      </c>
      <c r="C42" s="31" t="s">
        <v>2635</v>
      </c>
      <c r="D42" s="30" t="s">
        <v>2636</v>
      </c>
      <c r="E42" s="30" t="s">
        <v>2637</v>
      </c>
      <c r="F42" s="30">
        <v>2001</v>
      </c>
      <c r="G42" s="30" t="s">
        <v>2472</v>
      </c>
      <c r="H42" s="3" t="str">
        <f t="shared" si="0"/>
        <v>Early</v>
      </c>
    </row>
    <row r="43" spans="1:8" ht="12.5" customHeight="1">
      <c r="A43" s="23" t="s">
        <v>2638</v>
      </c>
      <c r="B43" s="23" t="s">
        <v>2460</v>
      </c>
      <c r="C43" s="23"/>
      <c r="D43" s="23" t="s">
        <v>2639</v>
      </c>
      <c r="E43" s="23" t="s">
        <v>2640</v>
      </c>
      <c r="F43" s="23">
        <v>2018</v>
      </c>
      <c r="G43" s="23" t="s">
        <v>2641</v>
      </c>
      <c r="H43" s="3" t="str">
        <f t="shared" si="0"/>
        <v>Recent</v>
      </c>
    </row>
    <row r="44" spans="1:8" ht="12.5" customHeight="1">
      <c r="A44" s="30" t="s">
        <v>2642</v>
      </c>
      <c r="B44" s="30" t="s">
        <v>2460</v>
      </c>
      <c r="C44" s="31" t="s">
        <v>2643</v>
      </c>
      <c r="D44" s="30" t="s">
        <v>2644</v>
      </c>
      <c r="E44" s="30" t="s">
        <v>2645</v>
      </c>
      <c r="F44" s="30">
        <v>1982</v>
      </c>
      <c r="G44" s="30" t="s">
        <v>2576</v>
      </c>
      <c r="H44" s="3" t="str">
        <f t="shared" si="0"/>
        <v>Early</v>
      </c>
    </row>
    <row r="45" spans="1:8" ht="12.5" customHeight="1">
      <c r="A45" s="30" t="s">
        <v>2646</v>
      </c>
      <c r="B45" s="30" t="s">
        <v>2460</v>
      </c>
      <c r="C45" s="31" t="s">
        <v>2647</v>
      </c>
      <c r="D45" s="30" t="s">
        <v>2648</v>
      </c>
      <c r="E45" s="30" t="s">
        <v>2645</v>
      </c>
      <c r="F45" s="30">
        <v>2002</v>
      </c>
      <c r="G45" s="30" t="s">
        <v>2591</v>
      </c>
      <c r="H45" s="3" t="str">
        <f t="shared" si="0"/>
        <v>Early</v>
      </c>
    </row>
    <row r="46" spans="1:8" ht="12.5" customHeight="1">
      <c r="A46" s="30" t="s">
        <v>2649</v>
      </c>
      <c r="B46" s="30" t="s">
        <v>2460</v>
      </c>
      <c r="C46" s="31" t="s">
        <v>2650</v>
      </c>
      <c r="D46" s="30" t="s">
        <v>2651</v>
      </c>
      <c r="E46" s="30" t="s">
        <v>2652</v>
      </c>
      <c r="F46" s="30">
        <v>2014</v>
      </c>
      <c r="G46" s="30" t="s">
        <v>2591</v>
      </c>
      <c r="H46" s="3" t="str">
        <f t="shared" si="0"/>
        <v>Recent</v>
      </c>
    </row>
    <row r="47" spans="1:8" ht="12.5" customHeight="1">
      <c r="A47" s="30" t="s">
        <v>2653</v>
      </c>
      <c r="B47" s="30" t="s">
        <v>2460</v>
      </c>
      <c r="C47" s="31" t="s">
        <v>2654</v>
      </c>
      <c r="D47" s="30" t="s">
        <v>2655</v>
      </c>
      <c r="E47" s="30" t="s">
        <v>2656</v>
      </c>
      <c r="F47" s="30">
        <v>2014</v>
      </c>
      <c r="G47" s="30" t="s">
        <v>2490</v>
      </c>
      <c r="H47" s="3" t="str">
        <f t="shared" si="0"/>
        <v>Recent</v>
      </c>
    </row>
    <row r="48" spans="1:8" ht="12.5" customHeight="1">
      <c r="A48" s="30" t="s">
        <v>2657</v>
      </c>
      <c r="B48" s="30" t="s">
        <v>2460</v>
      </c>
      <c r="C48" s="31" t="s">
        <v>2658</v>
      </c>
      <c r="D48" s="30" t="s">
        <v>2659</v>
      </c>
      <c r="E48" s="30" t="s">
        <v>2660</v>
      </c>
      <c r="F48" s="30">
        <v>2006</v>
      </c>
      <c r="G48" s="30" t="s">
        <v>2586</v>
      </c>
      <c r="H48" s="3" t="str">
        <f t="shared" si="0"/>
        <v>Middle</v>
      </c>
    </row>
    <row r="49" spans="1:8" ht="12.5" customHeight="1">
      <c r="A49" s="30" t="s">
        <v>2661</v>
      </c>
      <c r="B49" s="30" t="s">
        <v>2460</v>
      </c>
      <c r="C49" s="31" t="s">
        <v>2662</v>
      </c>
      <c r="D49" s="30" t="s">
        <v>2663</v>
      </c>
      <c r="E49" s="30" t="s">
        <v>2664</v>
      </c>
      <c r="F49" s="30">
        <v>2020</v>
      </c>
      <c r="G49" s="30" t="s">
        <v>2576</v>
      </c>
      <c r="H49" s="3" t="str">
        <f t="shared" si="0"/>
        <v>Recent</v>
      </c>
    </row>
    <row r="50" spans="1:8" ht="12.5" customHeight="1">
      <c r="A50" s="30" t="s">
        <v>2665</v>
      </c>
      <c r="B50" s="30" t="s">
        <v>2460</v>
      </c>
      <c r="C50" s="31" t="s">
        <v>2666</v>
      </c>
      <c r="D50" s="30" t="s">
        <v>2667</v>
      </c>
      <c r="E50" s="30" t="s">
        <v>744</v>
      </c>
      <c r="F50" s="30">
        <v>2006</v>
      </c>
      <c r="G50" s="30" t="s">
        <v>2668</v>
      </c>
      <c r="H50" s="3" t="str">
        <f t="shared" si="0"/>
        <v>Middle</v>
      </c>
    </row>
    <row r="51" spans="1:8" ht="12.5" customHeight="1">
      <c r="A51" s="30" t="s">
        <v>2669</v>
      </c>
      <c r="B51" s="30" t="s">
        <v>2460</v>
      </c>
      <c r="C51" s="31" t="s">
        <v>2670</v>
      </c>
      <c r="D51" s="30" t="s">
        <v>2671</v>
      </c>
      <c r="E51" s="30" t="s">
        <v>744</v>
      </c>
      <c r="F51" s="30">
        <v>2008</v>
      </c>
      <c r="G51" s="30" t="s">
        <v>2490</v>
      </c>
      <c r="H51" s="3" t="str">
        <f t="shared" si="0"/>
        <v>Middle</v>
      </c>
    </row>
    <row r="52" spans="1:8" ht="12.5" customHeight="1">
      <c r="A52" s="30" t="s">
        <v>2672</v>
      </c>
      <c r="B52" s="30" t="s">
        <v>2460</v>
      </c>
      <c r="C52" s="31" t="s">
        <v>2673</v>
      </c>
      <c r="D52" s="30" t="s">
        <v>2674</v>
      </c>
      <c r="E52" s="30" t="s">
        <v>2675</v>
      </c>
      <c r="F52" s="30">
        <v>2002</v>
      </c>
      <c r="G52" s="30" t="s">
        <v>2522</v>
      </c>
      <c r="H52" s="3" t="str">
        <f t="shared" si="0"/>
        <v>Early</v>
      </c>
    </row>
  </sheetData>
  <hyperlinks>
    <hyperlink ref="C4" r:id="rId1" xr:uid="{00000000-0004-0000-0D00-000000000000}"/>
    <hyperlink ref="C5" r:id="rId2" xr:uid="{00000000-0004-0000-0D00-000001000000}"/>
    <hyperlink ref="C6" r:id="rId3" xr:uid="{00000000-0004-0000-0D00-000002000000}"/>
    <hyperlink ref="C7" r:id="rId4" xr:uid="{00000000-0004-0000-0D00-000003000000}"/>
    <hyperlink ref="C8" r:id="rId5" xr:uid="{00000000-0004-0000-0D00-000004000000}"/>
    <hyperlink ref="C9" r:id="rId6" xr:uid="{00000000-0004-0000-0D00-000005000000}"/>
    <hyperlink ref="C10" r:id="rId7" xr:uid="{00000000-0004-0000-0D00-000006000000}"/>
    <hyperlink ref="C13" r:id="rId8" xr:uid="{00000000-0004-0000-0D00-000007000000}"/>
    <hyperlink ref="C14" r:id="rId9" xr:uid="{00000000-0004-0000-0D00-000008000000}"/>
    <hyperlink ref="C15" r:id="rId10" xr:uid="{00000000-0004-0000-0D00-000009000000}"/>
    <hyperlink ref="C16" r:id="rId11" xr:uid="{00000000-0004-0000-0D00-00000A000000}"/>
    <hyperlink ref="C17" r:id="rId12" xr:uid="{00000000-0004-0000-0D00-00000B000000}"/>
    <hyperlink ref="C18" r:id="rId13" xr:uid="{00000000-0004-0000-0D00-00000C000000}"/>
    <hyperlink ref="C19" r:id="rId14" xr:uid="{00000000-0004-0000-0D00-00000D000000}"/>
    <hyperlink ref="C20" r:id="rId15" xr:uid="{00000000-0004-0000-0D00-00000E000000}"/>
    <hyperlink ref="C21" r:id="rId16" xr:uid="{00000000-0004-0000-0D00-00000F000000}"/>
    <hyperlink ref="C22" r:id="rId17" xr:uid="{00000000-0004-0000-0D00-000010000000}"/>
    <hyperlink ref="C23" r:id="rId18" xr:uid="{00000000-0004-0000-0D00-000011000000}"/>
    <hyperlink ref="C24" r:id="rId19" xr:uid="{00000000-0004-0000-0D00-000012000000}"/>
    <hyperlink ref="C25" r:id="rId20" xr:uid="{00000000-0004-0000-0D00-000013000000}"/>
    <hyperlink ref="C26" r:id="rId21" xr:uid="{00000000-0004-0000-0D00-000014000000}"/>
    <hyperlink ref="C27" r:id="rId22" xr:uid="{00000000-0004-0000-0D00-000015000000}"/>
    <hyperlink ref="C29" r:id="rId23" xr:uid="{00000000-0004-0000-0D00-000016000000}"/>
    <hyperlink ref="C30" r:id="rId24" xr:uid="{00000000-0004-0000-0D00-000017000000}"/>
    <hyperlink ref="C31" r:id="rId25" xr:uid="{00000000-0004-0000-0D00-000018000000}"/>
    <hyperlink ref="C33" r:id="rId26" xr:uid="{00000000-0004-0000-0D00-000019000000}"/>
    <hyperlink ref="C34" r:id="rId27" xr:uid="{00000000-0004-0000-0D00-00001A000000}"/>
    <hyperlink ref="C35" r:id="rId28" xr:uid="{00000000-0004-0000-0D00-00001B000000}"/>
    <hyperlink ref="C36" r:id="rId29" xr:uid="{00000000-0004-0000-0D00-00001C000000}"/>
    <hyperlink ref="C37" r:id="rId30" xr:uid="{00000000-0004-0000-0D00-00001D000000}"/>
    <hyperlink ref="C38" r:id="rId31" xr:uid="{00000000-0004-0000-0D00-00001E000000}"/>
    <hyperlink ref="C39" r:id="rId32" xr:uid="{00000000-0004-0000-0D00-00001F000000}"/>
    <hyperlink ref="C40" r:id="rId33" xr:uid="{00000000-0004-0000-0D00-000020000000}"/>
    <hyperlink ref="C41" r:id="rId34" xr:uid="{00000000-0004-0000-0D00-000021000000}"/>
    <hyperlink ref="C42" r:id="rId35" xr:uid="{00000000-0004-0000-0D00-000022000000}"/>
    <hyperlink ref="C44" r:id="rId36" xr:uid="{00000000-0004-0000-0D00-000023000000}"/>
    <hyperlink ref="C45" r:id="rId37" xr:uid="{00000000-0004-0000-0D00-000024000000}"/>
    <hyperlink ref="C46" r:id="rId38" xr:uid="{00000000-0004-0000-0D00-000025000000}"/>
    <hyperlink ref="C47" r:id="rId39" xr:uid="{00000000-0004-0000-0D00-000026000000}"/>
    <hyperlink ref="C48" r:id="rId40" xr:uid="{00000000-0004-0000-0D00-000027000000}"/>
    <hyperlink ref="C49" r:id="rId41" xr:uid="{00000000-0004-0000-0D00-000028000000}"/>
    <hyperlink ref="C50" r:id="rId42" xr:uid="{00000000-0004-0000-0D00-000029000000}"/>
    <hyperlink ref="C51" r:id="rId43" xr:uid="{00000000-0004-0000-0D00-00002A000000}"/>
    <hyperlink ref="C52" r:id="rId44" xr:uid="{00000000-0004-0000-0D00-00002B000000}"/>
  </hyperlink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43"/>
  <sheetViews>
    <sheetView workbookViewId="0"/>
  </sheetViews>
  <sheetFormatPr defaultColWidth="10.90625" defaultRowHeight="12.5"/>
  <cols>
    <col min="3" max="3" width="51.6328125" customWidth="1"/>
  </cols>
  <sheetData>
    <row r="1" spans="1:26" ht="13" customHeight="1">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36" t="s">
        <v>2676</v>
      </c>
      <c r="B2" s="36" t="s">
        <v>2677</v>
      </c>
      <c r="C2" s="40" t="s">
        <v>2678</v>
      </c>
      <c r="D2" s="36" t="s">
        <v>2679</v>
      </c>
      <c r="E2" s="36" t="s">
        <v>2680</v>
      </c>
      <c r="F2" s="36">
        <v>2015</v>
      </c>
      <c r="G2" s="36" t="s">
        <v>2681</v>
      </c>
      <c r="H2" s="3" t="str">
        <f t="shared" ref="H2:H43" si="0">IF(F2="","",
  IF(F2&lt;=PERCENTILE(IF($B:$B=B2,$F:$F),0.33),"Early",
    IF(F2&lt;=PERCENTILE(IF($B:$B=B2,$F:$F),0.67),"Middle","Recent")))</f>
        <v>Middle</v>
      </c>
    </row>
    <row r="3" spans="1:26" ht="15.75" customHeight="1">
      <c r="A3" s="36" t="s">
        <v>2682</v>
      </c>
      <c r="B3" s="36" t="s">
        <v>2677</v>
      </c>
      <c r="C3" s="40" t="s">
        <v>2683</v>
      </c>
      <c r="D3" s="36" t="s">
        <v>2684</v>
      </c>
      <c r="E3" s="36" t="s">
        <v>2685</v>
      </c>
      <c r="F3" s="36">
        <v>2014</v>
      </c>
      <c r="G3" s="36" t="s">
        <v>2686</v>
      </c>
      <c r="H3" s="3" t="str">
        <f t="shared" si="0"/>
        <v>Middle</v>
      </c>
    </row>
    <row r="4" spans="1:26" ht="15.75" customHeight="1">
      <c r="A4" s="36" t="s">
        <v>2687</v>
      </c>
      <c r="B4" s="36" t="s">
        <v>2677</v>
      </c>
      <c r="C4" s="40" t="s">
        <v>2688</v>
      </c>
      <c r="D4" s="36" t="s">
        <v>2689</v>
      </c>
      <c r="E4" s="36" t="s">
        <v>2690</v>
      </c>
      <c r="F4" s="36">
        <v>2014</v>
      </c>
      <c r="G4" s="36" t="s">
        <v>2691</v>
      </c>
      <c r="H4" s="3" t="str">
        <f t="shared" si="0"/>
        <v>Middle</v>
      </c>
    </row>
    <row r="5" spans="1:26" ht="15.75" customHeight="1">
      <c r="A5" s="36" t="s">
        <v>2692</v>
      </c>
      <c r="B5" s="36" t="s">
        <v>2677</v>
      </c>
      <c r="C5" s="40" t="s">
        <v>2693</v>
      </c>
      <c r="D5" s="36" t="s">
        <v>2694</v>
      </c>
      <c r="E5" s="36" t="s">
        <v>2695</v>
      </c>
      <c r="F5" s="36">
        <v>2005</v>
      </c>
      <c r="G5" s="36" t="s">
        <v>2696</v>
      </c>
      <c r="H5" s="3" t="str">
        <f t="shared" si="0"/>
        <v>Early</v>
      </c>
    </row>
    <row r="6" spans="1:26" ht="15.75" customHeight="1">
      <c r="A6" s="36" t="s">
        <v>2697</v>
      </c>
      <c r="B6" s="36" t="s">
        <v>2677</v>
      </c>
      <c r="C6" s="40" t="s">
        <v>2698</v>
      </c>
      <c r="D6" s="36" t="s">
        <v>2699</v>
      </c>
      <c r="E6" s="36" t="s">
        <v>2700</v>
      </c>
      <c r="F6" s="36">
        <v>2004</v>
      </c>
      <c r="G6" s="36" t="s">
        <v>2701</v>
      </c>
      <c r="H6" s="3" t="str">
        <f t="shared" si="0"/>
        <v>Early</v>
      </c>
    </row>
    <row r="7" spans="1:26" ht="15.75" customHeight="1">
      <c r="A7" s="36" t="s">
        <v>2702</v>
      </c>
      <c r="B7" s="36" t="s">
        <v>2677</v>
      </c>
      <c r="C7" s="40" t="s">
        <v>2703</v>
      </c>
      <c r="D7" s="36" t="s">
        <v>2704</v>
      </c>
      <c r="E7" s="36" t="s">
        <v>2705</v>
      </c>
      <c r="F7" s="36">
        <v>2003</v>
      </c>
      <c r="G7" s="36" t="s">
        <v>2706</v>
      </c>
      <c r="H7" s="3" t="str">
        <f t="shared" si="0"/>
        <v>Early</v>
      </c>
    </row>
    <row r="8" spans="1:26" ht="15.75" customHeight="1">
      <c r="A8" s="36" t="s">
        <v>2707</v>
      </c>
      <c r="B8" s="36" t="s">
        <v>2677</v>
      </c>
      <c r="C8" s="40" t="s">
        <v>2708</v>
      </c>
      <c r="D8" s="36" t="s">
        <v>2709</v>
      </c>
      <c r="E8" s="36" t="s">
        <v>2710</v>
      </c>
      <c r="F8" s="36">
        <v>2014</v>
      </c>
      <c r="G8" s="36" t="s">
        <v>2681</v>
      </c>
      <c r="H8" s="3" t="str">
        <f t="shared" si="0"/>
        <v>Middle</v>
      </c>
    </row>
    <row r="9" spans="1:26" ht="15.75" customHeight="1">
      <c r="A9" s="36" t="s">
        <v>2711</v>
      </c>
      <c r="B9" s="36" t="s">
        <v>2677</v>
      </c>
      <c r="C9" s="40" t="s">
        <v>2712</v>
      </c>
      <c r="D9" s="36" t="s">
        <v>2713</v>
      </c>
      <c r="E9" s="36" t="s">
        <v>2714</v>
      </c>
      <c r="F9" s="36">
        <v>2003</v>
      </c>
      <c r="G9" s="36" t="s">
        <v>2715</v>
      </c>
      <c r="H9" s="3" t="str">
        <f t="shared" si="0"/>
        <v>Early</v>
      </c>
    </row>
    <row r="10" spans="1:26" ht="15.75" customHeight="1">
      <c r="A10" s="18" t="s">
        <v>2716</v>
      </c>
      <c r="B10" s="18" t="s">
        <v>2677</v>
      </c>
      <c r="C10" s="39" t="s">
        <v>2717</v>
      </c>
      <c r="D10" s="18" t="s">
        <v>2718</v>
      </c>
      <c r="E10" s="18" t="s">
        <v>2719</v>
      </c>
      <c r="F10" s="18">
        <v>1991</v>
      </c>
      <c r="G10" s="18" t="s">
        <v>2720</v>
      </c>
      <c r="H10" s="3" t="str">
        <f t="shared" si="0"/>
        <v>Early</v>
      </c>
    </row>
    <row r="11" spans="1:26" ht="15.75" customHeight="1">
      <c r="A11" s="36" t="s">
        <v>2721</v>
      </c>
      <c r="B11" s="36" t="s">
        <v>2677</v>
      </c>
      <c r="C11" s="40" t="s">
        <v>2722</v>
      </c>
      <c r="D11" s="36" t="s">
        <v>2723</v>
      </c>
      <c r="E11" s="36" t="s">
        <v>2724</v>
      </c>
      <c r="F11" s="36">
        <v>2016</v>
      </c>
      <c r="G11" s="36" t="s">
        <v>2725</v>
      </c>
      <c r="H11" s="3" t="str">
        <f t="shared" si="0"/>
        <v>Recent</v>
      </c>
    </row>
    <row r="12" spans="1:26" ht="15.75" customHeight="1">
      <c r="A12" s="36" t="s">
        <v>2726</v>
      </c>
      <c r="B12" s="36" t="s">
        <v>2677</v>
      </c>
      <c r="C12" s="40" t="s">
        <v>2727</v>
      </c>
      <c r="D12" s="36" t="s">
        <v>2728</v>
      </c>
      <c r="E12" s="36" t="s">
        <v>2729</v>
      </c>
      <c r="F12" s="36">
        <v>2006</v>
      </c>
      <c r="G12" s="36" t="s">
        <v>2730</v>
      </c>
      <c r="H12" s="3" t="str">
        <f t="shared" si="0"/>
        <v>Early</v>
      </c>
    </row>
    <row r="13" spans="1:26" ht="15.75" customHeight="1">
      <c r="A13" s="36" t="s">
        <v>2731</v>
      </c>
      <c r="B13" s="36" t="s">
        <v>2677</v>
      </c>
      <c r="C13" s="40" t="s">
        <v>2732</v>
      </c>
      <c r="D13" s="36" t="s">
        <v>2733</v>
      </c>
      <c r="E13" s="36" t="s">
        <v>2734</v>
      </c>
      <c r="F13" s="36">
        <v>2018</v>
      </c>
      <c r="G13" s="36" t="s">
        <v>2735</v>
      </c>
      <c r="H13" s="3" t="str">
        <f t="shared" si="0"/>
        <v>Recent</v>
      </c>
    </row>
    <row r="14" spans="1:26" ht="15.75" customHeight="1">
      <c r="A14" s="36" t="s">
        <v>2736</v>
      </c>
      <c r="B14" s="36" t="s">
        <v>2677</v>
      </c>
      <c r="C14" s="40" t="s">
        <v>2737</v>
      </c>
      <c r="D14" s="36" t="s">
        <v>2738</v>
      </c>
      <c r="E14" s="36" t="s">
        <v>2739</v>
      </c>
      <c r="F14" s="36">
        <v>2015</v>
      </c>
      <c r="G14" s="36" t="s">
        <v>2740</v>
      </c>
      <c r="H14" s="3" t="str">
        <f t="shared" si="0"/>
        <v>Middle</v>
      </c>
    </row>
    <row r="15" spans="1:26" ht="15.75" customHeight="1">
      <c r="A15" s="36" t="s">
        <v>2741</v>
      </c>
      <c r="B15" s="36" t="s">
        <v>2677</v>
      </c>
      <c r="C15" s="40" t="s">
        <v>2742</v>
      </c>
      <c r="D15" s="36" t="s">
        <v>2743</v>
      </c>
      <c r="E15" s="36" t="s">
        <v>2724</v>
      </c>
      <c r="F15" s="36">
        <v>2015</v>
      </c>
      <c r="G15" s="36" t="s">
        <v>2691</v>
      </c>
      <c r="H15" s="3" t="str">
        <f t="shared" si="0"/>
        <v>Middle</v>
      </c>
    </row>
    <row r="16" spans="1:26" ht="15.75" customHeight="1">
      <c r="A16" s="36" t="s">
        <v>2744</v>
      </c>
      <c r="B16" s="36" t="s">
        <v>2677</v>
      </c>
      <c r="C16" s="40" t="s">
        <v>2745</v>
      </c>
      <c r="D16" s="36" t="s">
        <v>2746</v>
      </c>
      <c r="E16" s="36" t="s">
        <v>2747</v>
      </c>
      <c r="F16" s="36">
        <v>2016</v>
      </c>
      <c r="G16" s="36" t="s">
        <v>2748</v>
      </c>
      <c r="H16" s="3" t="str">
        <f t="shared" si="0"/>
        <v>Recent</v>
      </c>
    </row>
    <row r="17" spans="1:8" ht="15.75" customHeight="1">
      <c r="A17" s="36" t="s">
        <v>2749</v>
      </c>
      <c r="B17" s="36" t="s">
        <v>2677</v>
      </c>
      <c r="C17" s="40" t="s">
        <v>2750</v>
      </c>
      <c r="D17" s="36" t="s">
        <v>2751</v>
      </c>
      <c r="E17" s="36" t="s">
        <v>1648</v>
      </c>
      <c r="F17" s="36">
        <v>2015</v>
      </c>
      <c r="G17" s="36" t="s">
        <v>2752</v>
      </c>
      <c r="H17" s="3" t="str">
        <f t="shared" si="0"/>
        <v>Middle</v>
      </c>
    </row>
    <row r="18" spans="1:8" ht="15.75" customHeight="1">
      <c r="A18" s="36" t="s">
        <v>2753</v>
      </c>
      <c r="B18" s="36" t="s">
        <v>2677</v>
      </c>
      <c r="C18" s="40" t="s">
        <v>2754</v>
      </c>
      <c r="D18" s="36" t="s">
        <v>2755</v>
      </c>
      <c r="E18" s="36" t="s">
        <v>2756</v>
      </c>
      <c r="F18" s="36">
        <v>2011</v>
      </c>
      <c r="G18" s="36" t="s">
        <v>2752</v>
      </c>
      <c r="H18" s="3" t="str">
        <f t="shared" si="0"/>
        <v>Middle</v>
      </c>
    </row>
    <row r="19" spans="1:8" ht="15.75" customHeight="1">
      <c r="A19" s="36" t="s">
        <v>2757</v>
      </c>
      <c r="B19" s="36" t="s">
        <v>2677</v>
      </c>
      <c r="C19" s="40" t="s">
        <v>2758</v>
      </c>
      <c r="D19" s="36" t="s">
        <v>2759</v>
      </c>
      <c r="E19" s="36" t="s">
        <v>2760</v>
      </c>
      <c r="F19" s="36">
        <v>2009</v>
      </c>
      <c r="G19" s="36" t="s">
        <v>2730</v>
      </c>
      <c r="H19" s="3" t="str">
        <f t="shared" si="0"/>
        <v>Early</v>
      </c>
    </row>
    <row r="20" spans="1:8" ht="12.5" customHeight="1">
      <c r="A20" s="36" t="s">
        <v>2761</v>
      </c>
      <c r="B20" s="36" t="s">
        <v>2677</v>
      </c>
      <c r="C20" s="40" t="s">
        <v>2762</v>
      </c>
      <c r="D20" s="36" t="s">
        <v>2763</v>
      </c>
      <c r="E20" s="36" t="s">
        <v>730</v>
      </c>
      <c r="F20" s="36">
        <v>2009</v>
      </c>
      <c r="G20" s="36" t="s">
        <v>2752</v>
      </c>
      <c r="H20" s="3" t="str">
        <f t="shared" si="0"/>
        <v>Early</v>
      </c>
    </row>
    <row r="21" spans="1:8" ht="12.5" customHeight="1">
      <c r="A21" s="36" t="s">
        <v>2764</v>
      </c>
      <c r="B21" s="36" t="s">
        <v>2677</v>
      </c>
      <c r="C21" s="40" t="s">
        <v>2765</v>
      </c>
      <c r="D21" s="36" t="s">
        <v>2766</v>
      </c>
      <c r="E21" s="36" t="s">
        <v>2767</v>
      </c>
      <c r="F21" s="36">
        <v>2008</v>
      </c>
      <c r="G21" s="36" t="s">
        <v>2768</v>
      </c>
      <c r="H21" s="3" t="str">
        <f t="shared" si="0"/>
        <v>Early</v>
      </c>
    </row>
    <row r="22" spans="1:8" ht="12.5" customHeight="1">
      <c r="A22" s="36" t="s">
        <v>2769</v>
      </c>
      <c r="B22" s="36" t="s">
        <v>2677</v>
      </c>
      <c r="C22" s="40" t="s">
        <v>2770</v>
      </c>
      <c r="D22" s="36" t="s">
        <v>2771</v>
      </c>
      <c r="E22" s="36" t="s">
        <v>1648</v>
      </c>
      <c r="F22" s="36">
        <v>2004</v>
      </c>
      <c r="G22" s="36" t="s">
        <v>2772</v>
      </c>
      <c r="H22" s="3" t="str">
        <f t="shared" si="0"/>
        <v>Early</v>
      </c>
    </row>
    <row r="23" spans="1:8" ht="12.5" customHeight="1">
      <c r="A23" s="36" t="s">
        <v>2773</v>
      </c>
      <c r="B23" s="36" t="s">
        <v>2677</v>
      </c>
      <c r="C23" s="40" t="s">
        <v>2774</v>
      </c>
      <c r="D23" s="36" t="s">
        <v>2775</v>
      </c>
      <c r="E23" s="36" t="s">
        <v>2776</v>
      </c>
      <c r="F23" s="36">
        <v>2017</v>
      </c>
      <c r="G23" s="36" t="s">
        <v>2777</v>
      </c>
      <c r="H23" s="3" t="str">
        <f t="shared" si="0"/>
        <v>Recent</v>
      </c>
    </row>
    <row r="24" spans="1:8" ht="12.5" customHeight="1">
      <c r="A24" s="36" t="s">
        <v>2778</v>
      </c>
      <c r="B24" s="36" t="s">
        <v>2677</v>
      </c>
      <c r="C24" s="40" t="s">
        <v>2779</v>
      </c>
      <c r="D24" s="36" t="s">
        <v>2780</v>
      </c>
      <c r="E24" s="36" t="s">
        <v>2781</v>
      </c>
      <c r="F24" s="36">
        <v>2017</v>
      </c>
      <c r="G24" s="36" t="s">
        <v>2782</v>
      </c>
      <c r="H24" s="3" t="str">
        <f t="shared" si="0"/>
        <v>Recent</v>
      </c>
    </row>
    <row r="25" spans="1:8" ht="12.5" customHeight="1">
      <c r="A25" s="36" t="s">
        <v>2783</v>
      </c>
      <c r="B25" s="36" t="s">
        <v>2677</v>
      </c>
      <c r="C25" s="40" t="s">
        <v>2784</v>
      </c>
      <c r="D25" s="36" t="s">
        <v>2785</v>
      </c>
      <c r="E25" s="36" t="s">
        <v>2786</v>
      </c>
      <c r="F25" s="36">
        <v>2016</v>
      </c>
      <c r="G25" s="36" t="s">
        <v>2787</v>
      </c>
      <c r="H25" s="3" t="str">
        <f t="shared" si="0"/>
        <v>Recent</v>
      </c>
    </row>
    <row r="26" spans="1:8" ht="12.5" customHeight="1">
      <c r="A26" s="36" t="s">
        <v>2788</v>
      </c>
      <c r="B26" s="36" t="s">
        <v>2677</v>
      </c>
      <c r="C26" s="40" t="s">
        <v>2789</v>
      </c>
      <c r="D26" s="36" t="s">
        <v>2790</v>
      </c>
      <c r="E26" s="36" t="s">
        <v>2791</v>
      </c>
      <c r="F26" s="36">
        <v>2014</v>
      </c>
      <c r="G26" s="36" t="s">
        <v>2792</v>
      </c>
      <c r="H26" s="3" t="str">
        <f t="shared" si="0"/>
        <v>Middle</v>
      </c>
    </row>
    <row r="27" spans="1:8" ht="12.5" customHeight="1">
      <c r="A27" s="36" t="s">
        <v>2793</v>
      </c>
      <c r="B27" s="36" t="s">
        <v>2677</v>
      </c>
      <c r="C27" s="40" t="s">
        <v>2794</v>
      </c>
      <c r="D27" s="36" t="s">
        <v>2795</v>
      </c>
      <c r="E27" s="36" t="s">
        <v>524</v>
      </c>
      <c r="F27" s="36">
        <v>2014</v>
      </c>
      <c r="G27" s="36" t="s">
        <v>2777</v>
      </c>
      <c r="H27" s="3" t="str">
        <f t="shared" si="0"/>
        <v>Middle</v>
      </c>
    </row>
    <row r="28" spans="1:8" ht="12.5" customHeight="1">
      <c r="A28" s="36" t="s">
        <v>2796</v>
      </c>
      <c r="B28" s="36" t="s">
        <v>2677</v>
      </c>
      <c r="C28" s="40" t="s">
        <v>2797</v>
      </c>
      <c r="D28" s="36" t="s">
        <v>2798</v>
      </c>
      <c r="E28" s="36" t="s">
        <v>2799</v>
      </c>
      <c r="F28" s="36">
        <v>2014</v>
      </c>
      <c r="G28" s="36" t="s">
        <v>2800</v>
      </c>
      <c r="H28" s="3" t="str">
        <f t="shared" si="0"/>
        <v>Middle</v>
      </c>
    </row>
    <row r="29" spans="1:8" ht="12.5" customHeight="1">
      <c r="A29" s="36" t="s">
        <v>2801</v>
      </c>
      <c r="B29" s="36" t="s">
        <v>2677</v>
      </c>
      <c r="C29" s="40" t="s">
        <v>2802</v>
      </c>
      <c r="D29" s="36" t="s">
        <v>2803</v>
      </c>
      <c r="E29" s="36" t="s">
        <v>2804</v>
      </c>
      <c r="F29" s="36">
        <v>2014</v>
      </c>
      <c r="G29" s="36" t="s">
        <v>2805</v>
      </c>
      <c r="H29" s="3" t="str">
        <f t="shared" si="0"/>
        <v>Middle</v>
      </c>
    </row>
    <row r="30" spans="1:8" ht="12.5" customHeight="1">
      <c r="A30" s="36" t="s">
        <v>2806</v>
      </c>
      <c r="B30" s="36" t="s">
        <v>2677</v>
      </c>
      <c r="C30" s="40" t="s">
        <v>2807</v>
      </c>
      <c r="D30" s="36" t="s">
        <v>2808</v>
      </c>
      <c r="E30" s="36" t="s">
        <v>2809</v>
      </c>
      <c r="F30" s="36">
        <v>2013</v>
      </c>
      <c r="G30" s="36" t="s">
        <v>2810</v>
      </c>
      <c r="H30" s="3" t="str">
        <f t="shared" si="0"/>
        <v>Middle</v>
      </c>
    </row>
    <row r="31" spans="1:8" ht="12.5" customHeight="1">
      <c r="A31" s="36" t="s">
        <v>2811</v>
      </c>
      <c r="B31" s="36" t="s">
        <v>2677</v>
      </c>
      <c r="C31" s="40" t="s">
        <v>2812</v>
      </c>
      <c r="D31" s="36" t="s">
        <v>2813</v>
      </c>
      <c r="E31" s="36" t="s">
        <v>2814</v>
      </c>
      <c r="F31" s="36">
        <v>2012</v>
      </c>
      <c r="G31" s="36" t="s">
        <v>2815</v>
      </c>
      <c r="H31" s="3" t="str">
        <f t="shared" si="0"/>
        <v>Middle</v>
      </c>
    </row>
    <row r="32" spans="1:8" ht="12.5" customHeight="1">
      <c r="A32" s="36" t="s">
        <v>2816</v>
      </c>
      <c r="B32" s="36" t="s">
        <v>2677</v>
      </c>
      <c r="C32" s="40" t="s">
        <v>2817</v>
      </c>
      <c r="D32" s="36" t="s">
        <v>2818</v>
      </c>
      <c r="E32" s="36" t="s">
        <v>1688</v>
      </c>
      <c r="F32" s="36">
        <v>2011</v>
      </c>
      <c r="G32" s="36" t="s">
        <v>2819</v>
      </c>
      <c r="H32" s="3" t="str">
        <f t="shared" si="0"/>
        <v>Middle</v>
      </c>
    </row>
    <row r="33" spans="1:8" ht="12.5" customHeight="1">
      <c r="A33" s="36" t="s">
        <v>2820</v>
      </c>
      <c r="B33" s="36" t="s">
        <v>2677</v>
      </c>
      <c r="C33" s="40" t="s">
        <v>2821</v>
      </c>
      <c r="D33" s="36" t="s">
        <v>2822</v>
      </c>
      <c r="E33" s="36" t="s">
        <v>476</v>
      </c>
      <c r="F33" s="36">
        <v>2010</v>
      </c>
      <c r="G33" s="36" t="s">
        <v>2823</v>
      </c>
      <c r="H33" s="3" t="str">
        <f t="shared" si="0"/>
        <v>Middle</v>
      </c>
    </row>
    <row r="34" spans="1:8" ht="12.5" customHeight="1">
      <c r="A34" s="36" t="s">
        <v>2824</v>
      </c>
      <c r="B34" s="36" t="s">
        <v>2677</v>
      </c>
      <c r="C34" s="40" t="s">
        <v>2825</v>
      </c>
      <c r="D34" s="36" t="s">
        <v>2826</v>
      </c>
      <c r="E34" s="36" t="s">
        <v>2827</v>
      </c>
      <c r="F34" s="36">
        <v>2009</v>
      </c>
      <c r="G34" s="36" t="s">
        <v>2748</v>
      </c>
      <c r="H34" s="3" t="str">
        <f t="shared" si="0"/>
        <v>Early</v>
      </c>
    </row>
    <row r="35" spans="1:8" ht="12.5" customHeight="1">
      <c r="A35" s="36" t="s">
        <v>2828</v>
      </c>
      <c r="B35" s="36" t="s">
        <v>2677</v>
      </c>
      <c r="C35" s="40" t="s">
        <v>2829</v>
      </c>
      <c r="D35" s="36" t="s">
        <v>2830</v>
      </c>
      <c r="E35" s="36" t="s">
        <v>524</v>
      </c>
      <c r="F35" s="36">
        <v>2007</v>
      </c>
      <c r="G35" s="36" t="s">
        <v>2831</v>
      </c>
      <c r="H35" s="3" t="str">
        <f t="shared" si="0"/>
        <v>Early</v>
      </c>
    </row>
    <row r="36" spans="1:8" ht="12.5" customHeight="1">
      <c r="A36" s="36" t="s">
        <v>2832</v>
      </c>
      <c r="B36" s="36" t="s">
        <v>2677</v>
      </c>
      <c r="C36" s="40" t="s">
        <v>2833</v>
      </c>
      <c r="D36" s="36" t="s">
        <v>2834</v>
      </c>
      <c r="E36" s="36" t="s">
        <v>2835</v>
      </c>
      <c r="F36" s="36">
        <v>2003</v>
      </c>
      <c r="G36" s="36" t="s">
        <v>2730</v>
      </c>
      <c r="H36" s="3" t="str">
        <f t="shared" si="0"/>
        <v>Early</v>
      </c>
    </row>
    <row r="37" spans="1:8" ht="12.5" customHeight="1">
      <c r="A37" s="36" t="s">
        <v>2836</v>
      </c>
      <c r="B37" s="36" t="s">
        <v>2677</v>
      </c>
      <c r="C37" s="40" t="s">
        <v>2837</v>
      </c>
      <c r="D37" s="36" t="s">
        <v>2838</v>
      </c>
      <c r="E37" s="36" t="s">
        <v>2839</v>
      </c>
      <c r="F37" s="36">
        <v>2003</v>
      </c>
      <c r="G37" s="36" t="s">
        <v>2730</v>
      </c>
      <c r="H37" s="3" t="str">
        <f t="shared" si="0"/>
        <v>Early</v>
      </c>
    </row>
    <row r="38" spans="1:8" ht="12.5" customHeight="1">
      <c r="A38" s="36" t="s">
        <v>2840</v>
      </c>
      <c r="B38" s="36" t="s">
        <v>2677</v>
      </c>
      <c r="C38" s="40" t="s">
        <v>2841</v>
      </c>
      <c r="D38" s="36" t="s">
        <v>2842</v>
      </c>
      <c r="E38" s="36" t="s">
        <v>2843</v>
      </c>
      <c r="F38" s="36">
        <v>2019</v>
      </c>
      <c r="G38" s="36" t="s">
        <v>2701</v>
      </c>
      <c r="H38" s="3" t="str">
        <f t="shared" si="0"/>
        <v>Recent</v>
      </c>
    </row>
    <row r="39" spans="1:8" ht="12.5" customHeight="1">
      <c r="A39" s="36" t="s">
        <v>2844</v>
      </c>
      <c r="B39" s="36" t="s">
        <v>2677</v>
      </c>
      <c r="C39" s="40" t="s">
        <v>2845</v>
      </c>
      <c r="D39" s="36" t="s">
        <v>2846</v>
      </c>
      <c r="E39" s="36" t="s">
        <v>524</v>
      </c>
      <c r="F39" s="36">
        <v>2019</v>
      </c>
      <c r="G39" s="36" t="s">
        <v>2847</v>
      </c>
      <c r="H39" s="3" t="str">
        <f t="shared" si="0"/>
        <v>Recent</v>
      </c>
    </row>
    <row r="40" spans="1:8" ht="12.5" customHeight="1">
      <c r="A40" s="36" t="s">
        <v>2848</v>
      </c>
      <c r="B40" s="36" t="s">
        <v>2677</v>
      </c>
      <c r="C40" s="40" t="s">
        <v>2849</v>
      </c>
      <c r="D40" s="36" t="s">
        <v>2850</v>
      </c>
      <c r="E40" s="36" t="s">
        <v>524</v>
      </c>
      <c r="F40" s="36">
        <v>2019</v>
      </c>
      <c r="G40" s="36" t="s">
        <v>2735</v>
      </c>
      <c r="H40" s="3" t="str">
        <f t="shared" si="0"/>
        <v>Recent</v>
      </c>
    </row>
    <row r="41" spans="1:8" ht="12.5" customHeight="1">
      <c r="A41" s="36" t="s">
        <v>2851</v>
      </c>
      <c r="B41" s="36" t="s">
        <v>2677</v>
      </c>
      <c r="C41" s="40" t="s">
        <v>2852</v>
      </c>
      <c r="D41" s="36" t="s">
        <v>2853</v>
      </c>
      <c r="E41" s="36" t="s">
        <v>2854</v>
      </c>
      <c r="F41" s="36">
        <v>2019</v>
      </c>
      <c r="G41" s="36" t="s">
        <v>2855</v>
      </c>
      <c r="H41" s="3" t="str">
        <f t="shared" si="0"/>
        <v>Recent</v>
      </c>
    </row>
    <row r="42" spans="1:8" ht="12.5" customHeight="1">
      <c r="A42" s="36" t="s">
        <v>2856</v>
      </c>
      <c r="B42" s="36" t="s">
        <v>2677</v>
      </c>
      <c r="C42" s="40" t="s">
        <v>2857</v>
      </c>
      <c r="D42" s="36" t="s">
        <v>2858</v>
      </c>
      <c r="E42" s="36" t="s">
        <v>2859</v>
      </c>
      <c r="F42" s="36">
        <v>2019</v>
      </c>
      <c r="G42" s="36" t="s">
        <v>2777</v>
      </c>
      <c r="H42" s="3" t="str">
        <f t="shared" si="0"/>
        <v>Recent</v>
      </c>
    </row>
    <row r="43" spans="1:8" ht="12.5" customHeight="1">
      <c r="A43" s="36" t="s">
        <v>2860</v>
      </c>
      <c r="B43" s="36" t="s">
        <v>2677</v>
      </c>
      <c r="C43" s="40" t="s">
        <v>2861</v>
      </c>
      <c r="D43" s="36" t="s">
        <v>2862</v>
      </c>
      <c r="E43" s="36" t="s">
        <v>2690</v>
      </c>
      <c r="F43" s="36">
        <v>2019</v>
      </c>
      <c r="G43" s="36" t="s">
        <v>2863</v>
      </c>
      <c r="H43" s="3" t="str">
        <f t="shared" si="0"/>
        <v>Recent</v>
      </c>
    </row>
  </sheetData>
  <hyperlinks>
    <hyperlink ref="C2" r:id="rId1" xr:uid="{00000000-0004-0000-0E00-000000000000}"/>
    <hyperlink ref="C3" r:id="rId2" xr:uid="{00000000-0004-0000-0E00-000001000000}"/>
    <hyperlink ref="C4" r:id="rId3" xr:uid="{00000000-0004-0000-0E00-000002000000}"/>
    <hyperlink ref="C5" r:id="rId4" xr:uid="{00000000-0004-0000-0E00-000003000000}"/>
    <hyperlink ref="C6" r:id="rId5" xr:uid="{00000000-0004-0000-0E00-000004000000}"/>
    <hyperlink ref="C7" r:id="rId6" xr:uid="{00000000-0004-0000-0E00-000005000000}"/>
    <hyperlink ref="C8" r:id="rId7" xr:uid="{00000000-0004-0000-0E00-000006000000}"/>
    <hyperlink ref="C9" r:id="rId8" xr:uid="{00000000-0004-0000-0E00-000007000000}"/>
    <hyperlink ref="C10" r:id="rId9" xr:uid="{00000000-0004-0000-0E00-000008000000}"/>
    <hyperlink ref="C11" r:id="rId10" xr:uid="{00000000-0004-0000-0E00-000009000000}"/>
    <hyperlink ref="C12" r:id="rId11" xr:uid="{00000000-0004-0000-0E00-00000A000000}"/>
    <hyperlink ref="C13" r:id="rId12" xr:uid="{00000000-0004-0000-0E00-00000B000000}"/>
    <hyperlink ref="C14" r:id="rId13" xr:uid="{00000000-0004-0000-0E00-00000C000000}"/>
    <hyperlink ref="C15" r:id="rId14" xr:uid="{00000000-0004-0000-0E00-00000D000000}"/>
    <hyperlink ref="C16" r:id="rId15" xr:uid="{00000000-0004-0000-0E00-00000E000000}"/>
    <hyperlink ref="C17" r:id="rId16" xr:uid="{00000000-0004-0000-0E00-00000F000000}"/>
    <hyperlink ref="C18" r:id="rId17" xr:uid="{00000000-0004-0000-0E00-000010000000}"/>
    <hyperlink ref="C19" r:id="rId18" xr:uid="{00000000-0004-0000-0E00-000011000000}"/>
    <hyperlink ref="C20" r:id="rId19" xr:uid="{00000000-0004-0000-0E00-000012000000}"/>
    <hyperlink ref="C21" r:id="rId20" xr:uid="{00000000-0004-0000-0E00-000013000000}"/>
    <hyperlink ref="C22" r:id="rId21" xr:uid="{00000000-0004-0000-0E00-000014000000}"/>
    <hyperlink ref="C23" r:id="rId22" xr:uid="{00000000-0004-0000-0E00-000015000000}"/>
    <hyperlink ref="C24" r:id="rId23" xr:uid="{00000000-0004-0000-0E00-000016000000}"/>
    <hyperlink ref="C25" r:id="rId24" xr:uid="{00000000-0004-0000-0E00-000017000000}"/>
    <hyperlink ref="C26" r:id="rId25" xr:uid="{00000000-0004-0000-0E00-000018000000}"/>
    <hyperlink ref="C27" r:id="rId26" xr:uid="{00000000-0004-0000-0E00-000019000000}"/>
    <hyperlink ref="C28" r:id="rId27" xr:uid="{00000000-0004-0000-0E00-00001A000000}"/>
    <hyperlink ref="C29" r:id="rId28" xr:uid="{00000000-0004-0000-0E00-00001B000000}"/>
    <hyperlink ref="C30" r:id="rId29" xr:uid="{00000000-0004-0000-0E00-00001C000000}"/>
    <hyperlink ref="C31" r:id="rId30" xr:uid="{00000000-0004-0000-0E00-00001D000000}"/>
    <hyperlink ref="C32" r:id="rId31" xr:uid="{00000000-0004-0000-0E00-00001E000000}"/>
    <hyperlink ref="C33" r:id="rId32" xr:uid="{00000000-0004-0000-0E00-00001F000000}"/>
    <hyperlink ref="C34" r:id="rId33" xr:uid="{00000000-0004-0000-0E00-000020000000}"/>
    <hyperlink ref="C35" r:id="rId34" xr:uid="{00000000-0004-0000-0E00-000021000000}"/>
    <hyperlink ref="C36" r:id="rId35" xr:uid="{00000000-0004-0000-0E00-000022000000}"/>
    <hyperlink ref="C37" r:id="rId36" xr:uid="{00000000-0004-0000-0E00-000023000000}"/>
    <hyperlink ref="C38" r:id="rId37" xr:uid="{00000000-0004-0000-0E00-000024000000}"/>
    <hyperlink ref="C39" r:id="rId38" xr:uid="{00000000-0004-0000-0E00-000025000000}"/>
    <hyperlink ref="C40" r:id="rId39" xr:uid="{00000000-0004-0000-0E00-000026000000}"/>
    <hyperlink ref="C41" r:id="rId40" xr:uid="{00000000-0004-0000-0E00-000027000000}"/>
    <hyperlink ref="C42" r:id="rId41" xr:uid="{00000000-0004-0000-0E00-000028000000}"/>
    <hyperlink ref="C43" r:id="rId42" xr:uid="{00000000-0004-0000-0E00-000029000000}"/>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Review_Screening</vt:lpstr>
      <vt:lpstr>Selected_Reviews</vt:lpstr>
      <vt:lpstr>Target_Studies</vt:lpstr>
      <vt:lpstr>R_01</vt:lpstr>
      <vt:lpstr>R_02</vt:lpstr>
      <vt:lpstr>R_03</vt:lpstr>
      <vt:lpstr>R_04</vt:lpstr>
      <vt:lpstr>R_05</vt:lpstr>
      <vt:lpstr>R_06</vt:lpstr>
      <vt:lpstr>R_07</vt:lpstr>
      <vt:lpstr>R_08</vt:lpstr>
      <vt:lpstr>R_09</vt:lpstr>
      <vt:lpstr>R_10</vt:lpstr>
      <vt:lpstr>R_11</vt:lpstr>
      <vt:lpstr>R_12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Azlan</cp:lastModifiedBy>
  <dcterms:modified xsi:type="dcterms:W3CDTF">2026-08-21T14:16:24Z</dcterms:modified>
</cp:coreProperties>
</file>